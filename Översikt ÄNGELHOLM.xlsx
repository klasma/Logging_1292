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46229</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46229</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46229</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46229</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46229</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46229</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46229</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46229</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46229</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46229</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46229</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46229</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46229</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46229</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46229</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905-2024</t>
        </is>
      </c>
      <c r="B17" t="inlineStr">
        <is>
          <t>avverkningsanmälan</t>
        </is>
      </c>
      <c r="C17" t="inlineStr">
        <is>
          <t>Föryngringsavverkning</t>
        </is>
      </c>
      <c r="D17" s="1" t="n">
        <v>45301</v>
      </c>
      <c r="E17" s="1" t="n">
        <v>46229</v>
      </c>
      <c r="F17" t="inlineStr">
        <is>
          <t>SKÅNE LÄN</t>
        </is>
      </c>
      <c r="G17" t="inlineStr">
        <is>
          <t>ÄNGELHOLM</t>
        </is>
      </c>
      <c r="I17" t="n">
        <v>4.9</v>
      </c>
      <c r="J17" t="n">
        <v>0</v>
      </c>
      <c r="K17" t="n">
        <v>1</v>
      </c>
      <c r="L17" t="n">
        <v>1</v>
      </c>
      <c r="M17" t="n">
        <v>1</v>
      </c>
      <c r="N17" t="n">
        <v>0</v>
      </c>
      <c r="O17" t="n">
        <v>0</v>
      </c>
      <c r="P17" t="n">
        <v>0</v>
      </c>
      <c r="Q17" t="n">
        <v>2</v>
      </c>
      <c r="R17" t="n">
        <v>1</v>
      </c>
      <c r="S17" t="n">
        <v>3</v>
      </c>
      <c r="T17" t="n">
        <v>3</v>
      </c>
      <c r="U17" t="n">
        <v>2</v>
      </c>
      <c r="V17" s="2" t="inlineStr">
        <is>
          <t>Igelkott
Desmeknopp
Myskmadra</t>
        </is>
      </c>
      <c r="W17">
        <f>HYPERLINK("https://klasma.github.io/Logging_1292/artfynd/A 905-2024 artfynd.xlsx", "A 905-2024")</f>
        <v/>
      </c>
      <c r="X17">
        <f>HYPERLINK("https://klasma.github.io/Logging_1292/kartor/A 905-2024 karta.png", "A 905-2024")</f>
        <v/>
      </c>
      <c r="Y17">
        <f>HYPERLINK("https://klasma.github.io/Logging_1292/kartor_geotiff/A 905-2024 georefererad karta.tif", "A 905-2024")</f>
        <v/>
      </c>
      <c r="AA17">
        <f>HYPERLINK("https://klasma.github.io/Logging_1292/klagomål/A 905-2024 FSC-klagomål.docx", "A 905-2024")</f>
        <v/>
      </c>
      <c r="AB17">
        <f>HYPERLINK("https://klasma.github.io/Logging_1292/klagomålsmail/A 905-2024 FSC-klagomål mail.docx", "A 905-2024")</f>
        <v/>
      </c>
      <c r="AC17">
        <f>HYPERLINK("https://klasma.github.io/Logging_1292/tillsyn/A 905-2024 tillsynsbegäran.docx", "A 905-2024")</f>
        <v/>
      </c>
      <c r="AD17">
        <f>HYPERLINK("https://klasma.github.io/Logging_1292/tillsynsmail/A 905-2024 tillsynsbegäran mail.docx", "A 905-2024")</f>
        <v/>
      </c>
    </row>
    <row r="18" ht="15" customHeight="1">
      <c r="A18" t="inlineStr">
        <is>
          <t>A 28874-2023</t>
        </is>
      </c>
      <c r="B18" t="inlineStr">
        <is>
          <t>avverkningsanmälan</t>
        </is>
      </c>
      <c r="C18" t="inlineStr">
        <is>
          <t>Föryngringsavverkning</t>
        </is>
      </c>
      <c r="D18" s="1" t="n">
        <v>45104</v>
      </c>
      <c r="E18" s="1" t="n">
        <v>46229</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3317-2026</t>
        </is>
      </c>
      <c r="B19" t="inlineStr">
        <is>
          <t>avverkningsanmälan</t>
        </is>
      </c>
      <c r="C19" t="inlineStr">
        <is>
          <t>Föryngringsavverkning</t>
        </is>
      </c>
      <c r="D19" s="1" t="n">
        <v>46041</v>
      </c>
      <c r="E19" s="1" t="n">
        <v>46229</v>
      </c>
      <c r="F19" t="inlineStr">
        <is>
          <t>SKÅNE LÄN</t>
        </is>
      </c>
      <c r="G19" t="inlineStr">
        <is>
          <t>ÄNGELHOLM</t>
        </is>
      </c>
      <c r="I19" t="n">
        <v>2.9</v>
      </c>
      <c r="J19" t="n">
        <v>3</v>
      </c>
      <c r="K19" t="n">
        <v>0</v>
      </c>
      <c r="L19" t="n">
        <v>2</v>
      </c>
      <c r="M19" t="n">
        <v>0</v>
      </c>
      <c r="N19" t="n">
        <v>0</v>
      </c>
      <c r="O19" t="n">
        <v>0</v>
      </c>
      <c r="P19" t="n">
        <v>0</v>
      </c>
      <c r="Q19" t="n">
        <v>2</v>
      </c>
      <c r="R19" t="n">
        <v>0</v>
      </c>
      <c r="S19" t="n">
        <v>3</v>
      </c>
      <c r="T19" t="n">
        <v>6</v>
      </c>
      <c r="U19" t="n">
        <v>6</v>
      </c>
      <c r="V19" s="2" t="inlineStr">
        <is>
          <t>Entita
Mindre hackspett
Gröngöling</t>
        </is>
      </c>
      <c r="W19">
        <f>HYPERLINK("https://klasma.github.io/Logging_1292/artfynd/A 3317-2026 artfynd.xlsx", "A 3317-2026")</f>
        <v/>
      </c>
      <c r="X19">
        <f>HYPERLINK("https://klasma.github.io/Logging_1292/kartor/A 3317-2026 karta.png", "A 3317-2026")</f>
        <v/>
      </c>
      <c r="Y19">
        <f>HYPERLINK("https://klasma.github.io/Logging_1292/kartor_geotiff/A 3317-2026 georefererad karta.tif", "A 3317-2026")</f>
        <v/>
      </c>
      <c r="AA19">
        <f>HYPERLINK("https://klasma.github.io/Logging_1292/klagomål/A 3317-2026 FSC-klagomål.docx", "A 3317-2026")</f>
        <v/>
      </c>
      <c r="AB19">
        <f>HYPERLINK("https://klasma.github.io/Logging_1292/klagomålsmail/A 3317-2026 FSC-klagomål mail.docx", "A 3317-2026")</f>
        <v/>
      </c>
      <c r="AC19">
        <f>HYPERLINK("https://klasma.github.io/Logging_1292/tillsyn/A 3317-2026 tillsynsbegäran.docx", "A 3317-2026")</f>
        <v/>
      </c>
      <c r="AD19">
        <f>HYPERLINK("https://klasma.github.io/Logging_1292/tillsynsmail/A 3317-2026 tillsynsbegäran mail.docx", "A 3317-2026")</f>
        <v/>
      </c>
      <c r="AE19">
        <f>HYPERLINK("https://klasma.github.io/Logging_1292/fåglar/A 3317-2026 prioriterade fågelarter.docx", "A 3317-2026")</f>
        <v/>
      </c>
    </row>
    <row r="20" ht="15" customHeight="1">
      <c r="A20" t="inlineStr">
        <is>
          <t>A 50684-2023</t>
        </is>
      </c>
      <c r="B20" t="inlineStr">
        <is>
          <t>avverkningsanmälan</t>
        </is>
      </c>
      <c r="C20" t="inlineStr">
        <is>
          <t>Föryngringsavverkning</t>
        </is>
      </c>
      <c r="D20" s="1" t="n">
        <v>45210</v>
      </c>
      <c r="E20" s="1" t="n">
        <v>46229</v>
      </c>
      <c r="F20" t="inlineStr">
        <is>
          <t>SKÅNE LÄN</t>
        </is>
      </c>
      <c r="G20" t="inlineStr">
        <is>
          <t>ÄNGELHOLM</t>
        </is>
      </c>
      <c r="I20" t="n">
        <v>1.6</v>
      </c>
      <c r="J20" t="n">
        <v>2</v>
      </c>
      <c r="K20" t="n">
        <v>0</v>
      </c>
      <c r="L20" t="n">
        <v>0</v>
      </c>
      <c r="M20" t="n">
        <v>0</v>
      </c>
      <c r="N20" t="n">
        <v>1</v>
      </c>
      <c r="O20" t="n">
        <v>0</v>
      </c>
      <c r="P20" t="n">
        <v>0</v>
      </c>
      <c r="Q20" t="n">
        <v>1</v>
      </c>
      <c r="R20" t="n">
        <v>1</v>
      </c>
      <c r="S20" t="n">
        <v>3</v>
      </c>
      <c r="T20" t="n">
        <v>3</v>
      </c>
      <c r="U20" t="n">
        <v>0</v>
      </c>
      <c r="V20" s="2" t="inlineStr">
        <is>
          <t>Skogsalm
Kopparödla
Vanlig padda</t>
        </is>
      </c>
      <c r="W20">
        <f>HYPERLINK("https://klasma.github.io/Logging_1292/artfynd/A 50684-2023 artfynd.xlsx", "A 50684-2023")</f>
        <v/>
      </c>
      <c r="X20">
        <f>HYPERLINK("https://klasma.github.io/Logging_1292/kartor/A 50684-2023 karta.png", "A 50684-2023")</f>
        <v/>
      </c>
      <c r="Y20">
        <f>HYPERLINK("https://klasma.github.io/Logging_1292/kartor_geotiff/A 50684-2023 georefererad karta.tif", "A 50684-2023")</f>
        <v/>
      </c>
      <c r="AA20">
        <f>HYPERLINK("https://klasma.github.io/Logging_1292/klagomål/A 50684-2023 FSC-klagomål.docx", "A 50684-2023")</f>
        <v/>
      </c>
      <c r="AB20">
        <f>HYPERLINK("https://klasma.github.io/Logging_1292/klagomålsmail/A 50684-2023 FSC-klagomål mail.docx", "A 50684-2023")</f>
        <v/>
      </c>
      <c r="AC20">
        <f>HYPERLINK("https://klasma.github.io/Logging_1292/tillsyn/A 50684-2023 tillsynsbegäran.docx", "A 50684-2023")</f>
        <v/>
      </c>
      <c r="AD20">
        <f>HYPERLINK("https://klasma.github.io/Logging_1292/tillsynsmail/A 50684-2023 tillsynsbegäran mail.docx", "A 50684-2023")</f>
        <v/>
      </c>
    </row>
    <row r="21" ht="15" customHeight="1">
      <c r="A21" t="inlineStr">
        <is>
          <t>A 8065-2025</t>
        </is>
      </c>
      <c r="B21" t="inlineStr">
        <is>
          <t>avverkningsanmälan</t>
        </is>
      </c>
      <c r="C21" t="inlineStr">
        <is>
          <t>Föryngringsavverkning</t>
        </is>
      </c>
      <c r="D21" s="1" t="n">
        <v>45707</v>
      </c>
      <c r="E21" s="1" t="n">
        <v>46229</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31907-2023</t>
        </is>
      </c>
      <c r="B22" t="inlineStr">
        <is>
          <t>avverkningsanmälan</t>
        </is>
      </c>
      <c r="C22" t="inlineStr">
        <is>
          <t>Föryngringsavverkning</t>
        </is>
      </c>
      <c r="D22" s="1" t="n">
        <v>45118</v>
      </c>
      <c r="E22" s="1" t="n">
        <v>46229</v>
      </c>
      <c r="F22" t="inlineStr">
        <is>
          <t>SKÅNE LÄN</t>
        </is>
      </c>
      <c r="G22" t="inlineStr">
        <is>
          <t>ÄNGELHOLM</t>
        </is>
      </c>
      <c r="I22" t="n">
        <v>5.3</v>
      </c>
      <c r="J22" t="n">
        <v>0</v>
      </c>
      <c r="K22" t="n">
        <v>2</v>
      </c>
      <c r="L22" t="n">
        <v>1</v>
      </c>
      <c r="M22" t="n">
        <v>0</v>
      </c>
      <c r="N22" t="n">
        <v>0</v>
      </c>
      <c r="O22" t="n">
        <v>0</v>
      </c>
      <c r="P22" t="n">
        <v>0</v>
      </c>
      <c r="Q22" t="n">
        <v>1</v>
      </c>
      <c r="R22" t="n">
        <v>0</v>
      </c>
      <c r="S22" t="n">
        <v>3</v>
      </c>
      <c r="T22" t="n">
        <v>3</v>
      </c>
      <c r="U22" t="n">
        <v>0</v>
      </c>
      <c r="V22" s="2" t="inlineStr">
        <is>
          <t>Bokvårtlav
Platt fjädermossa
Stubbspretmossa</t>
        </is>
      </c>
      <c r="W22">
        <f>HYPERLINK("https://klasma.github.io/Logging_1292/artfynd/A 31907-2023 artfynd.xlsx", "A 31907-2023")</f>
        <v/>
      </c>
      <c r="X22">
        <f>HYPERLINK("https://klasma.github.io/Logging_1292/kartor/A 31907-2023 karta.png", "A 31907-2023")</f>
        <v/>
      </c>
      <c r="Y22">
        <f>HYPERLINK("https://klasma.github.io/Logging_1292/kartor_geotiff/A 31907-2023 georefererad karta.tif", "A 31907-2023")</f>
        <v/>
      </c>
      <c r="AA22">
        <f>HYPERLINK("https://klasma.github.io/Logging_1292/klagomål/A 31907-2023 FSC-klagomål.docx", "A 31907-2023")</f>
        <v/>
      </c>
      <c r="AB22">
        <f>HYPERLINK("https://klasma.github.io/Logging_1292/klagomålsmail/A 31907-2023 FSC-klagomål mail.docx", "A 31907-2023")</f>
        <v/>
      </c>
      <c r="AC22">
        <f>HYPERLINK("https://klasma.github.io/Logging_1292/tillsyn/A 31907-2023 tillsynsbegäran.docx", "A 31907-2023")</f>
        <v/>
      </c>
      <c r="AD22">
        <f>HYPERLINK("https://klasma.github.io/Logging_1292/tillsynsmail/A 31907-2023 tillsynsbegäran mail.docx", "A 31907-2023")</f>
        <v/>
      </c>
    </row>
    <row r="23" ht="15" customHeight="1">
      <c r="A23" t="inlineStr">
        <is>
          <t>A 18559-2025</t>
        </is>
      </c>
      <c r="B23" t="inlineStr">
        <is>
          <t>avverkningsanmälan</t>
        </is>
      </c>
      <c r="C23" t="inlineStr">
        <is>
          <t>Föryngringsavverkning</t>
        </is>
      </c>
      <c r="D23" s="1" t="n">
        <v>45763</v>
      </c>
      <c r="E23" s="1" t="n">
        <v>46229</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46229</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46229</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46229</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46229</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46229</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46229</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46229</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46229</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46229</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44062-2022</t>
        </is>
      </c>
      <c r="B33" t="inlineStr">
        <is>
          <t>avverkningsanmälan</t>
        </is>
      </c>
      <c r="C33" t="inlineStr">
        <is>
          <t>Föryngringsavverkning</t>
        </is>
      </c>
      <c r="D33" s="1" t="n">
        <v>44839</v>
      </c>
      <c r="E33" s="1" t="n">
        <v>46229</v>
      </c>
      <c r="F33" t="inlineStr">
        <is>
          <t>SKÅNE LÄN</t>
        </is>
      </c>
      <c r="G33" t="inlineStr">
        <is>
          <t>ÄNGELHOLM</t>
        </is>
      </c>
      <c r="I33" t="n">
        <v>1.2</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HYPERLINK("https://klasma.github.io/Logging_1292/artfynd/A 44062-2022 artfynd.xlsx", "A 44062-2022")</f>
        <v/>
      </c>
      <c r="X33">
        <f>HYPERLINK("https://klasma.github.io/Logging_1292/kartor/A 44062-2022 karta.png", "A 44062-2022")</f>
        <v/>
      </c>
      <c r="Y33">
        <f>HYPERLINK("https://klasma.github.io/Logging_1292/kartor_geotiff/A 44062-2022 georefererad karta.tif", "A 44062-2022")</f>
        <v/>
      </c>
      <c r="AA33">
        <f>HYPERLINK("https://klasma.github.io/Logging_1292/klagomål/A 44062-2022 FSC-klagomål.docx", "A 44062-2022")</f>
        <v/>
      </c>
      <c r="AB33">
        <f>HYPERLINK("https://klasma.github.io/Logging_1292/klagomålsmail/A 44062-2022 FSC-klagomål mail.docx", "A 44062-2022")</f>
        <v/>
      </c>
      <c r="AC33">
        <f>HYPERLINK("https://klasma.github.io/Logging_1292/tillsyn/A 44062-2022 tillsynsbegäran.docx", "A 44062-2022")</f>
        <v/>
      </c>
      <c r="AD33">
        <f>HYPERLINK("https://klasma.github.io/Logging_1292/tillsynsmail/A 44062-2022 tillsynsbegäran mail.docx", "A 44062-2022")</f>
        <v/>
      </c>
    </row>
    <row r="34" ht="15" customHeight="1">
      <c r="A34" t="inlineStr">
        <is>
          <t>A 4088-2024</t>
        </is>
      </c>
      <c r="B34" t="inlineStr">
        <is>
          <t>avverkningsanmälan</t>
        </is>
      </c>
      <c r="C34" t="inlineStr">
        <is>
          <t>Föryngringsavverkning</t>
        </is>
      </c>
      <c r="D34" s="1" t="n">
        <v>45323</v>
      </c>
      <c r="E34" s="1" t="n">
        <v>46229</v>
      </c>
      <c r="F34" t="inlineStr">
        <is>
          <t>SKÅNE LÄN</t>
        </is>
      </c>
      <c r="G34" t="inlineStr">
        <is>
          <t>ÄNGELHOLM</t>
        </is>
      </c>
      <c r="I34" t="n">
        <v>3.8</v>
      </c>
      <c r="J34" t="n">
        <v>0</v>
      </c>
      <c r="K34" t="n">
        <v>0</v>
      </c>
      <c r="L34" t="n">
        <v>1</v>
      </c>
      <c r="M34" t="n">
        <v>0</v>
      </c>
      <c r="N34" t="n">
        <v>0</v>
      </c>
      <c r="O34" t="n">
        <v>0</v>
      </c>
      <c r="P34" t="n">
        <v>0</v>
      </c>
      <c r="Q34" t="n">
        <v>1</v>
      </c>
      <c r="R34" t="n">
        <v>0</v>
      </c>
      <c r="S34" t="n">
        <v>1</v>
      </c>
      <c r="T34" t="n">
        <v>1</v>
      </c>
      <c r="U34" t="n">
        <v>0</v>
      </c>
      <c r="V34" s="2" t="inlineStr">
        <is>
          <t>Flikbålmossa</t>
        </is>
      </c>
      <c r="W34">
        <f>HYPERLINK("https://klasma.github.io/Logging_1292/artfynd/A 4088-2024 artfynd.xlsx", "A 4088-2024")</f>
        <v/>
      </c>
      <c r="X34">
        <f>HYPERLINK("https://klasma.github.io/Logging_1292/kartor/A 4088-2024 karta.png", "A 4088-2024")</f>
        <v/>
      </c>
      <c r="Y34">
        <f>HYPERLINK("https://klasma.github.io/Logging_1292/kartor_geotiff/A 4088-2024 georefererad karta.tif", "A 4088-2024")</f>
        <v/>
      </c>
      <c r="AA34">
        <f>HYPERLINK("https://klasma.github.io/Logging_1292/klagomål/A 4088-2024 FSC-klagomål.docx", "A 4088-2024")</f>
        <v/>
      </c>
      <c r="AB34">
        <f>HYPERLINK("https://klasma.github.io/Logging_1292/klagomålsmail/A 4088-2024 FSC-klagomål mail.docx", "A 4088-2024")</f>
        <v/>
      </c>
      <c r="AC34">
        <f>HYPERLINK("https://klasma.github.io/Logging_1292/tillsyn/A 4088-2024 tillsynsbegäran.docx", "A 4088-2024")</f>
        <v/>
      </c>
      <c r="AD34">
        <f>HYPERLINK("https://klasma.github.io/Logging_1292/tillsynsmail/A 4088-2024 tillsynsbegäran mail.docx", "A 4088-2024")</f>
        <v/>
      </c>
    </row>
    <row r="35" ht="15" customHeight="1">
      <c r="A35" t="inlineStr">
        <is>
          <t>A 25129-2024</t>
        </is>
      </c>
      <c r="B35" t="inlineStr">
        <is>
          <t>avverkningsanmälan</t>
        </is>
      </c>
      <c r="C35" t="inlineStr">
        <is>
          <t>Föryngringsavverkning</t>
        </is>
      </c>
      <c r="D35" s="1" t="n">
        <v>45462</v>
      </c>
      <c r="E35" s="1" t="n">
        <v>46229</v>
      </c>
      <c r="F35" t="inlineStr">
        <is>
          <t>SKÅNE LÄN</t>
        </is>
      </c>
      <c r="G35" t="inlineStr">
        <is>
          <t>ÄNGELHOLM</t>
        </is>
      </c>
      <c r="I35" t="n">
        <v>4.6</v>
      </c>
      <c r="J35" t="n">
        <v>0</v>
      </c>
      <c r="K35" t="n">
        <v>0</v>
      </c>
      <c r="L35" t="n">
        <v>1</v>
      </c>
      <c r="M35" t="n">
        <v>0</v>
      </c>
      <c r="N35" t="n">
        <v>0</v>
      </c>
      <c r="O35" t="n">
        <v>0</v>
      </c>
      <c r="P35" t="n">
        <v>0</v>
      </c>
      <c r="Q35" t="n">
        <v>1</v>
      </c>
      <c r="R35" t="n">
        <v>0</v>
      </c>
      <c r="S35" t="n">
        <v>1</v>
      </c>
      <c r="T35" t="n">
        <v>1</v>
      </c>
      <c r="U35" t="n">
        <v>0</v>
      </c>
      <c r="V35" s="2" t="inlineStr">
        <is>
          <t>Gullpudra</t>
        </is>
      </c>
      <c r="W35">
        <f>HYPERLINK("https://klasma.github.io/Logging_1292/artfynd/A 25129-2024 artfynd.xlsx", "A 25129-2024")</f>
        <v/>
      </c>
      <c r="X35">
        <f>HYPERLINK("https://klasma.github.io/Logging_1292/kartor/A 25129-2024 karta.png", "A 25129-2024")</f>
        <v/>
      </c>
      <c r="Y35">
        <f>HYPERLINK("https://klasma.github.io/Logging_1292/kartor_geotiff/A 25129-2024 georefererad karta.tif", "A 25129-2024")</f>
        <v/>
      </c>
      <c r="AA35">
        <f>HYPERLINK("https://klasma.github.io/Logging_1292/klagomål/A 25129-2024 FSC-klagomål.docx", "A 25129-2024")</f>
        <v/>
      </c>
      <c r="AB35">
        <f>HYPERLINK("https://klasma.github.io/Logging_1292/klagomålsmail/A 25129-2024 FSC-klagomål mail.docx", "A 25129-2024")</f>
        <v/>
      </c>
      <c r="AC35">
        <f>HYPERLINK("https://klasma.github.io/Logging_1292/tillsyn/A 25129-2024 tillsynsbegäran.docx", "A 25129-2024")</f>
        <v/>
      </c>
      <c r="AD35">
        <f>HYPERLINK("https://klasma.github.io/Logging_1292/tillsynsmail/A 25129-2024 tillsynsbegäran mail.docx", "A 25129-2024")</f>
        <v/>
      </c>
    </row>
    <row r="36" ht="15" customHeight="1">
      <c r="A36" t="inlineStr">
        <is>
          <t>A 27094-2026</t>
        </is>
      </c>
      <c r="B36" t="inlineStr">
        <is>
          <t>avverkningsanmälan</t>
        </is>
      </c>
      <c r="C36" t="inlineStr">
        <is>
          <t>Föryngringsavverkning</t>
        </is>
      </c>
      <c r="D36" s="1" t="n">
        <v>46188</v>
      </c>
      <c r="E36" s="1" t="n">
        <v>46229</v>
      </c>
      <c r="F36" t="inlineStr">
        <is>
          <t>SKÅNE LÄN</t>
        </is>
      </c>
      <c r="G36" t="inlineStr">
        <is>
          <t>ÄNGELHOLM</t>
        </is>
      </c>
      <c r="I36" t="n">
        <v>6.2</v>
      </c>
      <c r="J36" t="n">
        <v>0</v>
      </c>
      <c r="K36" t="n">
        <v>1</v>
      </c>
      <c r="L36" t="n">
        <v>0</v>
      </c>
      <c r="M36" t="n">
        <v>0</v>
      </c>
      <c r="N36" t="n">
        <v>0</v>
      </c>
      <c r="O36" t="n">
        <v>0</v>
      </c>
      <c r="P36" t="n">
        <v>0</v>
      </c>
      <c r="Q36" t="n">
        <v>0</v>
      </c>
      <c r="R36" t="n">
        <v>0</v>
      </c>
      <c r="S36" t="n">
        <v>1</v>
      </c>
      <c r="T36" t="n">
        <v>1</v>
      </c>
      <c r="U36" t="n">
        <v>0</v>
      </c>
      <c r="V36" s="2" t="inlineStr">
        <is>
          <t>Västlig hakmossa</t>
        </is>
      </c>
      <c r="W36">
        <f>HYPERLINK("https://klasma.github.io/Logging_1292/artfynd/A 27094-2026 artfynd.xlsx", "A 27094-2026")</f>
        <v/>
      </c>
      <c r="X36">
        <f>HYPERLINK("https://klasma.github.io/Logging_1292/kartor/A 27094-2026 karta.png", "A 27094-2026")</f>
        <v/>
      </c>
      <c r="Y36">
        <f>HYPERLINK("https://klasma.github.io/Logging_1292/kartor_geotiff/A 27094-2026 georefererad karta.tif", "A 27094-2026")</f>
        <v/>
      </c>
      <c r="AA36">
        <f>HYPERLINK("https://klasma.github.io/Logging_1292/klagomål/A 27094-2026 FSC-klagomål.docx", "A 27094-2026")</f>
        <v/>
      </c>
      <c r="AB36">
        <f>HYPERLINK("https://klasma.github.io/Logging_1292/klagomålsmail/A 27094-2026 FSC-klagomål mail.docx", "A 27094-2026")</f>
        <v/>
      </c>
      <c r="AC36">
        <f>HYPERLINK("https://klasma.github.io/Logging_1292/tillsyn/A 27094-2026 tillsynsbegäran.docx", "A 27094-2026")</f>
        <v/>
      </c>
      <c r="AD36">
        <f>HYPERLINK("https://klasma.github.io/Logging_1292/tillsynsmail/A 27094-2026 tillsynsbegäran mail.docx", "A 27094-2026")</f>
        <v/>
      </c>
    </row>
    <row r="37" ht="15" customHeight="1">
      <c r="A37" t="inlineStr">
        <is>
          <t>A 12150-2024</t>
        </is>
      </c>
      <c r="B37" t="inlineStr">
        <is>
          <t>avverkningsanmälan</t>
        </is>
      </c>
      <c r="C37" t="inlineStr">
        <is>
          <t>Föryngringsavverkning</t>
        </is>
      </c>
      <c r="D37" s="1" t="n">
        <v>45377</v>
      </c>
      <c r="E37" s="1" t="n">
        <v>46229</v>
      </c>
      <c r="F37" t="inlineStr">
        <is>
          <t>SKÅNE LÄN</t>
        </is>
      </c>
      <c r="G37" t="inlineStr">
        <is>
          <t>ÄNGELHOLM</t>
        </is>
      </c>
      <c r="I37" t="n">
        <v>1.4</v>
      </c>
      <c r="J37" t="n">
        <v>0</v>
      </c>
      <c r="K37" t="n">
        <v>0</v>
      </c>
      <c r="L37" t="n">
        <v>0</v>
      </c>
      <c r="M37" t="n">
        <v>1</v>
      </c>
      <c r="N37" t="n">
        <v>0</v>
      </c>
      <c r="O37" t="n">
        <v>0</v>
      </c>
      <c r="P37" t="n">
        <v>0</v>
      </c>
      <c r="Q37" t="n">
        <v>1</v>
      </c>
      <c r="R37" t="n">
        <v>1</v>
      </c>
      <c r="S37" t="n">
        <v>1</v>
      </c>
      <c r="T37" t="n">
        <v>1</v>
      </c>
      <c r="U37" t="n">
        <v>1</v>
      </c>
      <c r="V37" s="2" t="inlineStr">
        <is>
          <t>Igelkott</t>
        </is>
      </c>
      <c r="W37">
        <f>HYPERLINK("https://klasma.github.io/Logging_1292/artfynd/A 12150-2024 artfynd.xlsx", "A 12150-2024")</f>
        <v/>
      </c>
      <c r="X37">
        <f>HYPERLINK("https://klasma.github.io/Logging_1292/kartor/A 12150-2024 karta.png", "A 12150-2024")</f>
        <v/>
      </c>
      <c r="Y37">
        <f>HYPERLINK("https://klasma.github.io/Logging_1292/kartor_geotiff/A 12150-2024 georefererad karta.tif", "A 12150-2024")</f>
        <v/>
      </c>
      <c r="AA37">
        <f>HYPERLINK("https://klasma.github.io/Logging_1292/klagomål/A 12150-2024 FSC-klagomål.docx", "A 12150-2024")</f>
        <v/>
      </c>
      <c r="AB37">
        <f>HYPERLINK("https://klasma.github.io/Logging_1292/klagomålsmail/A 12150-2024 FSC-klagomål mail.docx", "A 12150-2024")</f>
        <v/>
      </c>
      <c r="AC37">
        <f>HYPERLINK("https://klasma.github.io/Logging_1292/tillsyn/A 12150-2024 tillsynsbegäran.docx", "A 12150-2024")</f>
        <v/>
      </c>
      <c r="AD37">
        <f>HYPERLINK("https://klasma.github.io/Logging_1292/tillsynsmail/A 12150-2024 tillsynsbegäran mail.docx", "A 12150-2024")</f>
        <v/>
      </c>
    </row>
    <row r="38" ht="15" customHeight="1">
      <c r="A38" t="inlineStr">
        <is>
          <t>A 61094-2021</t>
        </is>
      </c>
      <c r="B38" t="inlineStr">
        <is>
          <t>avverkningsanmälan</t>
        </is>
      </c>
      <c r="C38" t="inlineStr">
        <is>
          <t>Föryngringsavverkning</t>
        </is>
      </c>
      <c r="D38" s="1" t="n">
        <v>44498</v>
      </c>
      <c r="E38" s="1" t="n">
        <v>46229</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t="n">
        <v>1</v>
      </c>
      <c r="V38" s="2" t="inlineStr">
        <is>
          <t>Stor revmossa</t>
        </is>
      </c>
      <c r="W38">
        <f>HYPERLINK("https://klasma.github.io/Logging_1292/artfynd/A 61094-2021 artfynd.xlsx", "A 61094-2021")</f>
        <v/>
      </c>
      <c r="X38">
        <f>HYPERLINK("https://klasma.github.io/Logging_1292/kartor/A 61094-2021 karta.png", "A 61094-2021")</f>
        <v/>
      </c>
      <c r="Y38">
        <f>HYPERLINK("https://klasma.github.io/Logging_1292/kartor_geotiff/A 61094-2021 georefererad karta.tif", "A 61094-2021")</f>
        <v/>
      </c>
      <c r="AA38">
        <f>HYPERLINK("https://klasma.github.io/Logging_1292/klagomål/A 61094-2021 FSC-klagomål.docx", "A 61094-2021")</f>
        <v/>
      </c>
      <c r="AB38">
        <f>HYPERLINK("https://klasma.github.io/Logging_1292/klagomålsmail/A 61094-2021 FSC-klagomål mail.docx", "A 61094-2021")</f>
        <v/>
      </c>
      <c r="AC38">
        <f>HYPERLINK("https://klasma.github.io/Logging_1292/tillsyn/A 61094-2021 tillsynsbegäran.docx", "A 61094-2021")</f>
        <v/>
      </c>
      <c r="AD38">
        <f>HYPERLINK("https://klasma.github.io/Logging_1292/tillsynsmail/A 61094-2021 tillsynsbegäran mail.docx", "A 61094-2021")</f>
        <v/>
      </c>
    </row>
    <row r="39" ht="15" customHeight="1">
      <c r="A39" t="inlineStr">
        <is>
          <t>A 50642-2023</t>
        </is>
      </c>
      <c r="B39" t="inlineStr">
        <is>
          <t>avverkningsanmälan</t>
        </is>
      </c>
      <c r="C39" t="inlineStr">
        <is>
          <t>Föryngringsavverkning</t>
        </is>
      </c>
      <c r="D39" s="1" t="n">
        <v>45210</v>
      </c>
      <c r="E39" s="1" t="n">
        <v>46229</v>
      </c>
      <c r="F39" t="inlineStr">
        <is>
          <t>SKÅNE LÄN</t>
        </is>
      </c>
      <c r="G39" t="inlineStr">
        <is>
          <t>ÄNGELHOLM</t>
        </is>
      </c>
      <c r="I39" t="n">
        <v>0.8</v>
      </c>
      <c r="J39" t="n">
        <v>1</v>
      </c>
      <c r="K39" t="n">
        <v>0</v>
      </c>
      <c r="L39" t="n">
        <v>0</v>
      </c>
      <c r="M39" t="n">
        <v>0</v>
      </c>
      <c r="N39" t="n">
        <v>0</v>
      </c>
      <c r="O39" t="n">
        <v>0</v>
      </c>
      <c r="P39" t="n">
        <v>0</v>
      </c>
      <c r="Q39" t="n">
        <v>0</v>
      </c>
      <c r="R39" t="n">
        <v>0</v>
      </c>
      <c r="S39" t="n">
        <v>1</v>
      </c>
      <c r="T39" t="n">
        <v>1</v>
      </c>
      <c r="U39" t="n">
        <v>0</v>
      </c>
      <c r="V39" s="2" t="inlineStr">
        <is>
          <t>Vanlig padda</t>
        </is>
      </c>
      <c r="W39">
        <f>HYPERLINK("https://klasma.github.io/Logging_1292/artfynd/A 50642-2023 artfynd.xlsx", "A 50642-2023")</f>
        <v/>
      </c>
      <c r="X39">
        <f>HYPERLINK("https://klasma.github.io/Logging_1292/kartor/A 50642-2023 karta.png", "A 50642-2023")</f>
        <v/>
      </c>
      <c r="Y39">
        <f>HYPERLINK("https://klasma.github.io/Logging_1292/kartor_geotiff/A 50642-2023 georefererad karta.tif", "A 50642-2023")</f>
        <v/>
      </c>
      <c r="AA39">
        <f>HYPERLINK("https://klasma.github.io/Logging_1292/klagomål/A 50642-2023 FSC-klagomål.docx", "A 50642-2023")</f>
        <v/>
      </c>
      <c r="AB39">
        <f>HYPERLINK("https://klasma.github.io/Logging_1292/klagomålsmail/A 50642-2023 FSC-klagomål mail.docx", "A 50642-2023")</f>
        <v/>
      </c>
      <c r="AC39">
        <f>HYPERLINK("https://klasma.github.io/Logging_1292/tillsyn/A 50642-2023 tillsynsbegäran.docx", "A 50642-2023")</f>
        <v/>
      </c>
      <c r="AD39">
        <f>HYPERLINK("https://klasma.github.io/Logging_1292/tillsynsmail/A 50642-2023 tillsynsbegäran mail.docx", "A 50642-2023")</f>
        <v/>
      </c>
    </row>
    <row r="40" ht="15" customHeight="1">
      <c r="A40" t="inlineStr">
        <is>
          <t>A 31599-2026</t>
        </is>
      </c>
      <c r="B40" t="inlineStr">
        <is>
          <t>avverkningsanmälan</t>
        </is>
      </c>
      <c r="C40" t="inlineStr">
        <is>
          <t>Föryngringsavverkning</t>
        </is>
      </c>
      <c r="D40" s="1" t="n">
        <v>46224</v>
      </c>
      <c r="E40" s="1" t="n">
        <v>46229</v>
      </c>
      <c r="F40" t="inlineStr">
        <is>
          <t>SKÅNE LÄN</t>
        </is>
      </c>
      <c r="G40" t="inlineStr">
        <is>
          <t>ÄNGELHOLM</t>
        </is>
      </c>
      <c r="I40" t="n">
        <v>1.7</v>
      </c>
      <c r="J40" t="n">
        <v>1</v>
      </c>
      <c r="K40" t="n">
        <v>1</v>
      </c>
      <c r="L40" t="n">
        <v>0</v>
      </c>
      <c r="M40" t="n">
        <v>0</v>
      </c>
      <c r="N40" t="n">
        <v>0</v>
      </c>
      <c r="O40" t="n">
        <v>0</v>
      </c>
      <c r="P40" t="n">
        <v>0</v>
      </c>
      <c r="Q40" t="n">
        <v>0</v>
      </c>
      <c r="R40" t="n">
        <v>0</v>
      </c>
      <c r="S40" t="n">
        <v>1</v>
      </c>
      <c r="T40" t="n">
        <v>1</v>
      </c>
      <c r="U40" t="n">
        <v>0</v>
      </c>
      <c r="V40" s="2" t="inlineStr">
        <is>
          <t>Ekoxe</t>
        </is>
      </c>
      <c r="W40">
        <f>HYPERLINK("https://klasma.github.io/Logging_1292/artfynd/A 31599-2026 artfynd.xlsx", "A 31599-2026")</f>
        <v/>
      </c>
      <c r="X40">
        <f>HYPERLINK("https://klasma.github.io/Logging_1292/kartor/A 31599-2026 karta.png", "A 31599-2026")</f>
        <v/>
      </c>
      <c r="Y40">
        <f>HYPERLINK("https://klasma.github.io/Logging_1292/kartor_geotiff/A 31599-2026 georefererad karta.tif", "A 31599-2026")</f>
        <v/>
      </c>
      <c r="AA40">
        <f>HYPERLINK("https://klasma.github.io/Logging_1292/klagomål/A 31599-2026 FSC-klagomål.docx", "A 31599-2026")</f>
        <v/>
      </c>
      <c r="AB40">
        <f>HYPERLINK("https://klasma.github.io/Logging_1292/klagomålsmail/A 31599-2026 FSC-klagomål mail.docx", "A 31599-2026")</f>
        <v/>
      </c>
      <c r="AC40">
        <f>HYPERLINK("https://klasma.github.io/Logging_1292/tillsyn/A 31599-2026 tillsynsbegäran.docx", "A 31599-2026")</f>
        <v/>
      </c>
      <c r="AD40">
        <f>HYPERLINK("https://klasma.github.io/Logging_1292/tillsynsmail/A 31599-2026 tillsynsbegäran mail.docx", "A 31599-2026")</f>
        <v/>
      </c>
    </row>
    <row r="41" ht="15" customHeight="1">
      <c r="A41" t="inlineStr">
        <is>
          <t>A 46487-2024</t>
        </is>
      </c>
      <c r="B41" t="inlineStr">
        <is>
          <t>avverkningsanmälan</t>
        </is>
      </c>
      <c r="C41" t="inlineStr">
        <is>
          <t>Föryngringsavverkning</t>
        </is>
      </c>
      <c r="D41" s="1" t="n">
        <v>45582</v>
      </c>
      <c r="E41" s="1" t="n">
        <v>46229</v>
      </c>
      <c r="F41" t="inlineStr">
        <is>
          <t>SKÅNE LÄN</t>
        </is>
      </c>
      <c r="G41" t="inlineStr">
        <is>
          <t>ÄNGELHOLM</t>
        </is>
      </c>
      <c r="I41" t="n">
        <v>5.8</v>
      </c>
      <c r="J41" t="n">
        <v>1</v>
      </c>
      <c r="K41" t="n">
        <v>0</v>
      </c>
      <c r="L41" t="n">
        <v>0</v>
      </c>
      <c r="M41" t="n">
        <v>0</v>
      </c>
      <c r="N41" t="n">
        <v>0</v>
      </c>
      <c r="O41" t="n">
        <v>0</v>
      </c>
      <c r="P41" t="n">
        <v>0</v>
      </c>
      <c r="Q41" t="n">
        <v>0</v>
      </c>
      <c r="R41" t="n">
        <v>0</v>
      </c>
      <c r="S41" t="n">
        <v>1</v>
      </c>
      <c r="T41" t="n">
        <v>1</v>
      </c>
      <c r="U41" t="n">
        <v>1</v>
      </c>
      <c r="V41" s="2" t="inlineStr">
        <is>
          <t>Lopplummer (aggregat)</t>
        </is>
      </c>
      <c r="W41">
        <f>HYPERLINK("https://klasma.github.io/Logging_1292/artfynd/A 46487-2024 artfynd.xlsx", "A 46487-2024")</f>
        <v/>
      </c>
      <c r="X41">
        <f>HYPERLINK("https://klasma.github.io/Logging_1292/kartor/A 46487-2024 karta.png", "A 46487-2024")</f>
        <v/>
      </c>
      <c r="Y41">
        <f>HYPERLINK("https://klasma.github.io/Logging_1292/kartor_geotiff/A 46487-2024 georefererad karta.tif", "A 46487-2024")</f>
        <v/>
      </c>
      <c r="AA41">
        <f>HYPERLINK("https://klasma.github.io/Logging_1292/klagomål/A 46487-2024 FSC-klagomål.docx", "A 46487-2024")</f>
        <v/>
      </c>
      <c r="AB41">
        <f>HYPERLINK("https://klasma.github.io/Logging_1292/klagomålsmail/A 46487-2024 FSC-klagomål mail.docx", "A 46487-2024")</f>
        <v/>
      </c>
      <c r="AC41">
        <f>HYPERLINK("https://klasma.github.io/Logging_1292/tillsyn/A 46487-2024 tillsynsbegäran.docx", "A 46487-2024")</f>
        <v/>
      </c>
      <c r="AD41">
        <f>HYPERLINK("https://klasma.github.io/Logging_1292/tillsynsmail/A 46487-2024 tillsynsbegäran mail.docx", "A 46487-2024")</f>
        <v/>
      </c>
    </row>
    <row r="42" ht="15" customHeight="1">
      <c r="A42" t="inlineStr">
        <is>
          <t>S 1961-2023</t>
        </is>
      </c>
      <c r="B42" t="inlineStr">
        <is>
          <t>samrådsanmälan</t>
        </is>
      </c>
      <c r="C42" t="inlineStr">
        <is>
          <t>Askåterföring</t>
        </is>
      </c>
      <c r="D42" s="1" t="n">
        <v>45084</v>
      </c>
      <c r="E42" s="1" t="n">
        <v>46229</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46229</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46229</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46229</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46229</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46229</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46229</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46229</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46229</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46229</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46229</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46229</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46229</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56569-2021</t>
        </is>
      </c>
      <c r="B55" t="inlineStr">
        <is>
          <t>avverkningsanmälan</t>
        </is>
      </c>
      <c r="C55" t="inlineStr">
        <is>
          <t>Föryngringsavverkning</t>
        </is>
      </c>
      <c r="D55" s="1" t="n">
        <v>44480</v>
      </c>
      <c r="E55" s="1" t="n">
        <v>46229</v>
      </c>
      <c r="F55" t="inlineStr">
        <is>
          <t>SKÅNE LÄN</t>
        </is>
      </c>
      <c r="G55" t="inlineStr">
        <is>
          <t>ÄNGELHOLM</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11773-2022</t>
        </is>
      </c>
      <c r="B56" t="inlineStr">
        <is>
          <t>avverkningsanmälan</t>
        </is>
      </c>
      <c r="C56" t="inlineStr">
        <is>
          <t>Föryngringsavverkning</t>
        </is>
      </c>
      <c r="D56" s="1" t="n">
        <v>44634</v>
      </c>
      <c r="E56" s="1" t="n">
        <v>46229</v>
      </c>
      <c r="F56" t="inlineStr">
        <is>
          <t>SKÅNE LÄN</t>
        </is>
      </c>
      <c r="G56" t="inlineStr">
        <is>
          <t>ÄNGELHOLM</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40275-2023</t>
        </is>
      </c>
      <c r="B57" t="inlineStr">
        <is>
          <t>avverkningsanmälan</t>
        </is>
      </c>
      <c r="C57" t="inlineStr">
        <is>
          <t>Föryngringsavverkning</t>
        </is>
      </c>
      <c r="D57" s="1" t="n">
        <v>45169</v>
      </c>
      <c r="E57" s="1" t="n">
        <v>46229</v>
      </c>
      <c r="F57" t="inlineStr">
        <is>
          <t>SKÅNE LÄN</t>
        </is>
      </c>
      <c r="G57" t="inlineStr">
        <is>
          <t>ÄNGELHOLM</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6667-2025</t>
        </is>
      </c>
      <c r="B58" t="inlineStr">
        <is>
          <t>avverkningsanmälan</t>
        </is>
      </c>
      <c r="C58" t="inlineStr">
        <is>
          <t>Föryngringsavverkning</t>
        </is>
      </c>
      <c r="D58" s="1" t="n">
        <v>45700</v>
      </c>
      <c r="E58" s="1" t="n">
        <v>46229</v>
      </c>
      <c r="F58" t="inlineStr">
        <is>
          <t>SKÅNE LÄN</t>
        </is>
      </c>
      <c r="G58" t="inlineStr">
        <is>
          <t>ÄNGELHOLM</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46702-2024</t>
        </is>
      </c>
      <c r="B59" t="inlineStr">
        <is>
          <t>avverkningsanmälan</t>
        </is>
      </c>
      <c r="C59" t="inlineStr">
        <is>
          <t>Föryngringsavverkning</t>
        </is>
      </c>
      <c r="D59" s="1" t="n">
        <v>45583</v>
      </c>
      <c r="E59" s="1" t="n">
        <v>46229</v>
      </c>
      <c r="F59" t="inlineStr">
        <is>
          <t>SKÅNE LÄN</t>
        </is>
      </c>
      <c r="G59" t="inlineStr">
        <is>
          <t>ÄNGELHOLM</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31789-2023</t>
        </is>
      </c>
      <c r="B60" t="inlineStr">
        <is>
          <t>avverkningsanmälan</t>
        </is>
      </c>
      <c r="C60" t="inlineStr">
        <is>
          <t>Föryngringsavverkning</t>
        </is>
      </c>
      <c r="D60" s="1" t="n">
        <v>45118</v>
      </c>
      <c r="E60" s="1" t="n">
        <v>46229</v>
      </c>
      <c r="F60" t="inlineStr">
        <is>
          <t>SKÅNE LÄN</t>
        </is>
      </c>
      <c r="G60" t="inlineStr">
        <is>
          <t>ÄNGELHOLM</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1644-2025</t>
        </is>
      </c>
      <c r="B61" t="inlineStr">
        <is>
          <t>avverkningsanmälan</t>
        </is>
      </c>
      <c r="C61" t="inlineStr">
        <is>
          <t>Föryngringsavverkning</t>
        </is>
      </c>
      <c r="D61" s="1" t="n">
        <v>45670</v>
      </c>
      <c r="E61" s="1" t="n">
        <v>46229</v>
      </c>
      <c r="F61" t="inlineStr">
        <is>
          <t>SKÅNE LÄN</t>
        </is>
      </c>
      <c r="G61" t="inlineStr">
        <is>
          <t>ÄNGELHOLM</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55545-2022</t>
        </is>
      </c>
      <c r="B62" t="inlineStr">
        <is>
          <t>avverkningsanmälan</t>
        </is>
      </c>
      <c r="C62" t="inlineStr">
        <is>
          <t>Föryngringsavverkning</t>
        </is>
      </c>
      <c r="D62" s="1" t="n">
        <v>44887</v>
      </c>
      <c r="E62" s="1" t="n">
        <v>46229</v>
      </c>
      <c r="F62" t="inlineStr">
        <is>
          <t>SKÅNE LÄN</t>
        </is>
      </c>
      <c r="G62" t="inlineStr">
        <is>
          <t>ÄNGELHOLM</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64728-2023</t>
        </is>
      </c>
      <c r="B63" t="inlineStr">
        <is>
          <t>avverkningsanmälan</t>
        </is>
      </c>
      <c r="C63" t="inlineStr">
        <is>
          <t>Föryngringsavverkning</t>
        </is>
      </c>
      <c r="D63" s="1" t="n">
        <v>45281</v>
      </c>
      <c r="E63" s="1" t="n">
        <v>46229</v>
      </c>
      <c r="F63" t="inlineStr">
        <is>
          <t>SKÅNE LÄN</t>
        </is>
      </c>
      <c r="G63" t="inlineStr">
        <is>
          <t>ÄNGELHOLM</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23676-2024</t>
        </is>
      </c>
      <c r="B64" t="inlineStr">
        <is>
          <t>avverkningsanmälan</t>
        </is>
      </c>
      <c r="C64" t="inlineStr">
        <is>
          <t>Föryngringsavverkning</t>
        </is>
      </c>
      <c r="D64" s="1" t="n">
        <v>45454</v>
      </c>
      <c r="E64" s="1" t="n">
        <v>46229</v>
      </c>
      <c r="F64" t="inlineStr">
        <is>
          <t>SKÅNE LÄN</t>
        </is>
      </c>
      <c r="G64" t="inlineStr">
        <is>
          <t>ÄNGELHOLM</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25669-2024</t>
        </is>
      </c>
      <c r="B65" t="inlineStr">
        <is>
          <t>avverkningsanmälan</t>
        </is>
      </c>
      <c r="C65" t="inlineStr">
        <is>
          <t>Föryngringsavverkning</t>
        </is>
      </c>
      <c r="D65" s="1" t="n">
        <v>45463</v>
      </c>
      <c r="E65" s="1" t="n">
        <v>46229</v>
      </c>
      <c r="F65" t="inlineStr">
        <is>
          <t>SKÅNE LÄN</t>
        </is>
      </c>
      <c r="G65" t="inlineStr">
        <is>
          <t>ÄNGELHOLM</t>
        </is>
      </c>
      <c r="I65" t="n">
        <v>17.9</v>
      </c>
      <c r="J65" t="n">
        <v>0</v>
      </c>
      <c r="K65" t="n">
        <v>0</v>
      </c>
      <c r="L65" t="n">
        <v>0</v>
      </c>
      <c r="M65" t="n">
        <v>0</v>
      </c>
      <c r="N65" t="n">
        <v>0</v>
      </c>
      <c r="O65" t="n">
        <v>0</v>
      </c>
      <c r="P65" t="n">
        <v>0</v>
      </c>
      <c r="Q65" t="n">
        <v>0</v>
      </c>
      <c r="R65" t="n">
        <v>0</v>
      </c>
      <c r="S65" t="n">
        <v>0</v>
      </c>
      <c r="T65" t="n">
        <v>0</v>
      </c>
      <c r="U65" t="n">
        <v>0</v>
      </c>
      <c r="V65" s="2" t="inlineStr"/>
    </row>
    <row r="66" ht="15" customHeight="1">
      <c r="A66" t="inlineStr">
        <is>
          <t>A 8139-2025</t>
        </is>
      </c>
      <c r="B66" t="inlineStr">
        <is>
          <t>avverkningsanmälan</t>
        </is>
      </c>
      <c r="C66" t="inlineStr">
        <is>
          <t>Föryngringsavverkning</t>
        </is>
      </c>
      <c r="D66" s="1" t="n">
        <v>45708</v>
      </c>
      <c r="E66" s="1" t="n">
        <v>46229</v>
      </c>
      <c r="F66" t="inlineStr">
        <is>
          <t>SKÅNE LÄN</t>
        </is>
      </c>
      <c r="G66" t="inlineStr">
        <is>
          <t>ÄNGELHOLM</t>
        </is>
      </c>
      <c r="I66" t="n">
        <v>3.5</v>
      </c>
      <c r="J66" t="n">
        <v>0</v>
      </c>
      <c r="K66" t="n">
        <v>0</v>
      </c>
      <c r="L66" t="n">
        <v>0</v>
      </c>
      <c r="M66" t="n">
        <v>0</v>
      </c>
      <c r="N66" t="n">
        <v>0</v>
      </c>
      <c r="O66" t="n">
        <v>0</v>
      </c>
      <c r="P66" t="n">
        <v>0</v>
      </c>
      <c r="Q66" t="n">
        <v>0</v>
      </c>
      <c r="R66" t="n">
        <v>0</v>
      </c>
      <c r="S66" t="n">
        <v>0</v>
      </c>
      <c r="T66" t="n">
        <v>0</v>
      </c>
      <c r="U66" t="n">
        <v>0</v>
      </c>
      <c r="V66" s="2" t="inlineStr"/>
    </row>
    <row r="67" ht="15" customHeight="1">
      <c r="A67" t="inlineStr">
        <is>
          <t>A 31143-2024</t>
        </is>
      </c>
      <c r="B67" t="inlineStr">
        <is>
          <t>avverkningsanmälan</t>
        </is>
      </c>
      <c r="C67" t="inlineStr">
        <is>
          <t>Avverkning för annat ändamål</t>
        </is>
      </c>
      <c r="D67" s="1" t="n">
        <v>45502</v>
      </c>
      <c r="E67" s="1" t="n">
        <v>46229</v>
      </c>
      <c r="F67" t="inlineStr">
        <is>
          <t>SKÅNE LÄN</t>
        </is>
      </c>
      <c r="G67" t="inlineStr">
        <is>
          <t>ÄNGELHOLM</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23328-2022</t>
        </is>
      </c>
      <c r="B68" t="inlineStr">
        <is>
          <t>avverkningsanmälan</t>
        </is>
      </c>
      <c r="C68" t="inlineStr">
        <is>
          <t>Föryngringsavverkning</t>
        </is>
      </c>
      <c r="D68" s="1" t="n">
        <v>44720</v>
      </c>
      <c r="E68" s="1" t="n">
        <v>46229</v>
      </c>
      <c r="F68" t="inlineStr">
        <is>
          <t>SKÅNE LÄN</t>
        </is>
      </c>
      <c r="G68" t="inlineStr">
        <is>
          <t>ÄNGELHOLM</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44448-2023</t>
        </is>
      </c>
      <c r="B69" t="inlineStr">
        <is>
          <t>avverkningsanmälan</t>
        </is>
      </c>
      <c r="C69" t="inlineStr">
        <is>
          <t>Föryngringsavverkning</t>
        </is>
      </c>
      <c r="D69" s="1" t="n">
        <v>45189</v>
      </c>
      <c r="E69" s="1" t="n">
        <v>46229</v>
      </c>
      <c r="F69" t="inlineStr">
        <is>
          <t>SKÅNE LÄN</t>
        </is>
      </c>
      <c r="G69" t="inlineStr">
        <is>
          <t>ÄNGELHOLM</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55544-2022</t>
        </is>
      </c>
      <c r="B70" t="inlineStr">
        <is>
          <t>avverkningsanmälan</t>
        </is>
      </c>
      <c r="C70" t="inlineStr">
        <is>
          <t>Föryngringsavverkning</t>
        </is>
      </c>
      <c r="D70" s="1" t="n">
        <v>44887</v>
      </c>
      <c r="E70" s="1" t="n">
        <v>46229</v>
      </c>
      <c r="F70" t="inlineStr">
        <is>
          <t>SKÅNE LÄN</t>
        </is>
      </c>
      <c r="G70" t="inlineStr">
        <is>
          <t>ÄNGELHOLM</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46286-2024</t>
        </is>
      </c>
      <c r="B71" t="inlineStr">
        <is>
          <t>avverkningsanmälan</t>
        </is>
      </c>
      <c r="C71" t="inlineStr">
        <is>
          <t>Föryngringsavverkning</t>
        </is>
      </c>
      <c r="D71" s="1" t="n">
        <v>45581</v>
      </c>
      <c r="E71" s="1" t="n">
        <v>46229</v>
      </c>
      <c r="F71" t="inlineStr">
        <is>
          <t>SKÅNE LÄN</t>
        </is>
      </c>
      <c r="G71" t="inlineStr">
        <is>
          <t>ÄNGELHOLM</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15154-2023</t>
        </is>
      </c>
      <c r="B72" t="inlineStr">
        <is>
          <t>avverkningsanmälan</t>
        </is>
      </c>
      <c r="C72" t="inlineStr">
        <is>
          <t>Föryngringsavverkning</t>
        </is>
      </c>
      <c r="D72" s="1" t="n">
        <v>45016</v>
      </c>
      <c r="E72" s="1" t="n">
        <v>46229</v>
      </c>
      <c r="F72" t="inlineStr">
        <is>
          <t>SKÅNE LÄN</t>
        </is>
      </c>
      <c r="G72" t="inlineStr">
        <is>
          <t>ÄNGELHOLM</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7337-2024</t>
        </is>
      </c>
      <c r="B73" t="inlineStr">
        <is>
          <t>avverkningsanmälan</t>
        </is>
      </c>
      <c r="C73" t="inlineStr">
        <is>
          <t>Föryngringsavverkning</t>
        </is>
      </c>
      <c r="D73" s="1" t="n">
        <v>45345</v>
      </c>
      <c r="E73" s="1" t="n">
        <v>46229</v>
      </c>
      <c r="F73" t="inlineStr">
        <is>
          <t>SKÅNE LÄN</t>
        </is>
      </c>
      <c r="G73" t="inlineStr">
        <is>
          <t>ÄNGELHOLM</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49610-2024</t>
        </is>
      </c>
      <c r="B74" t="inlineStr">
        <is>
          <t>avverkningsanmälan</t>
        </is>
      </c>
      <c r="C74" t="inlineStr">
        <is>
          <t>Föryngringsavverkning</t>
        </is>
      </c>
      <c r="D74" s="1" t="n">
        <v>45596</v>
      </c>
      <c r="E74" s="1" t="n">
        <v>46229</v>
      </c>
      <c r="F74" t="inlineStr">
        <is>
          <t>SKÅNE LÄN</t>
        </is>
      </c>
      <c r="G74" t="inlineStr">
        <is>
          <t>ÄNGELHOLM</t>
        </is>
      </c>
      <c r="I74" t="n">
        <v>6.4</v>
      </c>
      <c r="J74" t="n">
        <v>0</v>
      </c>
      <c r="K74" t="n">
        <v>0</v>
      </c>
      <c r="L74" t="n">
        <v>0</v>
      </c>
      <c r="M74" t="n">
        <v>0</v>
      </c>
      <c r="N74" t="n">
        <v>0</v>
      </c>
      <c r="O74" t="n">
        <v>0</v>
      </c>
      <c r="P74" t="n">
        <v>0</v>
      </c>
      <c r="Q74" t="n">
        <v>0</v>
      </c>
      <c r="R74" t="n">
        <v>0</v>
      </c>
      <c r="S74" t="n">
        <v>0</v>
      </c>
      <c r="T74" t="n">
        <v>0</v>
      </c>
      <c r="U74" t="n">
        <v>0</v>
      </c>
      <c r="V74" s="2" t="inlineStr"/>
    </row>
    <row r="75" ht="15" customHeight="1">
      <c r="A75" t="inlineStr">
        <is>
          <t>A 58134-2022</t>
        </is>
      </c>
      <c r="B75" t="inlineStr">
        <is>
          <t>avverkningsanmälan</t>
        </is>
      </c>
      <c r="C75" t="inlineStr">
        <is>
          <t>Föryngringsavverkning</t>
        </is>
      </c>
      <c r="D75" s="1" t="n">
        <v>44900</v>
      </c>
      <c r="E75" s="1" t="n">
        <v>46229</v>
      </c>
      <c r="F75" t="inlineStr">
        <is>
          <t>SKÅNE LÄN</t>
        </is>
      </c>
      <c r="G75" t="inlineStr">
        <is>
          <t>ÄNGELHOLM</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13243-2025</t>
        </is>
      </c>
      <c r="B76" t="inlineStr">
        <is>
          <t>avverkningsanmälan</t>
        </is>
      </c>
      <c r="C76" t="inlineStr">
        <is>
          <t>Föryngringsavverkning</t>
        </is>
      </c>
      <c r="D76" s="1" t="n">
        <v>45735</v>
      </c>
      <c r="E76" s="1" t="n">
        <v>46229</v>
      </c>
      <c r="F76" t="inlineStr">
        <is>
          <t>SKÅNE LÄN</t>
        </is>
      </c>
      <c r="G76" t="inlineStr">
        <is>
          <t>ÄNGELHOLM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40287-2025</t>
        </is>
      </c>
      <c r="B77" t="inlineStr">
        <is>
          <t>avverkningsanmälan</t>
        </is>
      </c>
      <c r="C77" t="inlineStr">
        <is>
          <t>Föryngringsavverkning</t>
        </is>
      </c>
      <c r="D77" s="1" t="n">
        <v>45895</v>
      </c>
      <c r="E77" s="1" t="n">
        <v>46229</v>
      </c>
      <c r="F77" t="inlineStr">
        <is>
          <t>SKÅNE LÄN</t>
        </is>
      </c>
      <c r="G77" t="inlineStr">
        <is>
          <t>ÄNGELHOLM</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74214-2021</t>
        </is>
      </c>
      <c r="B78" t="inlineStr">
        <is>
          <t>avverkningsanmälan</t>
        </is>
      </c>
      <c r="C78" t="inlineStr">
        <is>
          <t>Föryngringsavverkning</t>
        </is>
      </c>
      <c r="D78" s="1" t="n">
        <v>44553</v>
      </c>
      <c r="E78" s="1" t="n">
        <v>46229</v>
      </c>
      <c r="F78" t="inlineStr">
        <is>
          <t>SKÅNE LÄN</t>
        </is>
      </c>
      <c r="G78" t="inlineStr">
        <is>
          <t>ÄNGELHOLM</t>
        </is>
      </c>
      <c r="I78" t="n">
        <v>19.8</v>
      </c>
      <c r="J78" t="n">
        <v>0</v>
      </c>
      <c r="K78" t="n">
        <v>0</v>
      </c>
      <c r="L78" t="n">
        <v>0</v>
      </c>
      <c r="M78" t="n">
        <v>0</v>
      </c>
      <c r="N78" t="n">
        <v>0</v>
      </c>
      <c r="O78" t="n">
        <v>0</v>
      </c>
      <c r="P78" t="n">
        <v>0</v>
      </c>
      <c r="Q78" t="n">
        <v>0</v>
      </c>
      <c r="R78" t="n">
        <v>0</v>
      </c>
      <c r="S78" t="n">
        <v>0</v>
      </c>
      <c r="T78" t="n">
        <v>0</v>
      </c>
      <c r="U78" t="n">
        <v>0</v>
      </c>
      <c r="V78" s="2" t="inlineStr"/>
    </row>
    <row r="79" ht="15" customHeight="1">
      <c r="A79" t="inlineStr">
        <is>
          <t>A 42826-2025</t>
        </is>
      </c>
      <c r="B79" t="inlineStr">
        <is>
          <t>avverkningsanmälan</t>
        </is>
      </c>
      <c r="C79" t="inlineStr">
        <is>
          <t>Föryngringsavverkning</t>
        </is>
      </c>
      <c r="D79" s="1" t="n">
        <v>45908</v>
      </c>
      <c r="E79" s="1" t="n">
        <v>46229</v>
      </c>
      <c r="F79" t="inlineStr">
        <is>
          <t>SKÅNE LÄN</t>
        </is>
      </c>
      <c r="G79" t="inlineStr">
        <is>
          <t>ÄNGELHOLM</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7811-2023</t>
        </is>
      </c>
      <c r="B80" t="inlineStr">
        <is>
          <t>avverkningsanmälan</t>
        </is>
      </c>
      <c r="C80" t="inlineStr">
        <is>
          <t>Föryngringsavverkning</t>
        </is>
      </c>
      <c r="D80" s="1" t="n">
        <v>44973</v>
      </c>
      <c r="E80" s="1" t="n">
        <v>46229</v>
      </c>
      <c r="F80" t="inlineStr">
        <is>
          <t>SKÅNE LÄN</t>
        </is>
      </c>
      <c r="G80" t="inlineStr">
        <is>
          <t>ÄNGELHOLM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58137-2022</t>
        </is>
      </c>
      <c r="B81" t="inlineStr">
        <is>
          <t>avverkningsanmälan</t>
        </is>
      </c>
      <c r="C81" t="inlineStr">
        <is>
          <t>Föryngringsavverkning</t>
        </is>
      </c>
      <c r="D81" s="1" t="n">
        <v>44900</v>
      </c>
      <c r="E81" s="1" t="n">
        <v>46229</v>
      </c>
      <c r="F81" t="inlineStr">
        <is>
          <t>SKÅNE LÄN</t>
        </is>
      </c>
      <c r="G81" t="inlineStr">
        <is>
          <t>ÄNGELHOLM</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42105-2022</t>
        </is>
      </c>
      <c r="B82" t="inlineStr">
        <is>
          <t>avverkningsanmälan</t>
        </is>
      </c>
      <c r="C82" t="inlineStr">
        <is>
          <t>Föryngringsavverkning</t>
        </is>
      </c>
      <c r="D82" s="1" t="n">
        <v>44830</v>
      </c>
      <c r="E82" s="1" t="n">
        <v>46229</v>
      </c>
      <c r="F82" t="inlineStr">
        <is>
          <t>SKÅNE LÄN</t>
        </is>
      </c>
      <c r="G82" t="inlineStr">
        <is>
          <t>ÄNGELHOLM</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50652-2023</t>
        </is>
      </c>
      <c r="B83" t="inlineStr">
        <is>
          <t>avverkningsanmälan</t>
        </is>
      </c>
      <c r="C83" t="inlineStr">
        <is>
          <t>Föryngringsavverkning</t>
        </is>
      </c>
      <c r="D83" s="1" t="n">
        <v>45210</v>
      </c>
      <c r="E83" s="1" t="n">
        <v>46229</v>
      </c>
      <c r="F83" t="inlineStr">
        <is>
          <t>SKÅNE LÄN</t>
        </is>
      </c>
      <c r="G83" t="inlineStr">
        <is>
          <t>ÄNGELHOLM</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24855-2024</t>
        </is>
      </c>
      <c r="B84" t="inlineStr">
        <is>
          <t>avverkningsanmälan</t>
        </is>
      </c>
      <c r="C84" t="inlineStr">
        <is>
          <t>Föryngringsavverkning</t>
        </is>
      </c>
      <c r="D84" s="1" t="n">
        <v>45461</v>
      </c>
      <c r="E84" s="1" t="n">
        <v>46229</v>
      </c>
      <c r="F84" t="inlineStr">
        <is>
          <t>SKÅNE LÄN</t>
        </is>
      </c>
      <c r="G84" t="inlineStr">
        <is>
          <t>ÄNGELHOLM</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4755-2024</t>
        </is>
      </c>
      <c r="B85" t="inlineStr">
        <is>
          <t>avverkningsanmälan</t>
        </is>
      </c>
      <c r="C85" t="inlineStr">
        <is>
          <t>Föryngringsavverkning</t>
        </is>
      </c>
      <c r="D85" s="1" t="n">
        <v>45328</v>
      </c>
      <c r="E85" s="1" t="n">
        <v>46229</v>
      </c>
      <c r="F85" t="inlineStr">
        <is>
          <t>SKÅNE LÄN</t>
        </is>
      </c>
      <c r="G85" t="inlineStr">
        <is>
          <t>ÄNGELHOLM</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14400-2023</t>
        </is>
      </c>
      <c r="B86" t="inlineStr">
        <is>
          <t>avverkningsanmälan</t>
        </is>
      </c>
      <c r="C86" t="inlineStr">
        <is>
          <t>Föryngringsavverkning</t>
        </is>
      </c>
      <c r="D86" s="1" t="n">
        <v>45012</v>
      </c>
      <c r="E86" s="1" t="n">
        <v>46229</v>
      </c>
      <c r="F86" t="inlineStr">
        <is>
          <t>SKÅNE LÄN</t>
        </is>
      </c>
      <c r="G86" t="inlineStr">
        <is>
          <t>ÄNGELHOLM</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23227-2023</t>
        </is>
      </c>
      <c r="B87" t="inlineStr">
        <is>
          <t>avverkningsanmälan</t>
        </is>
      </c>
      <c r="C87" t="inlineStr">
        <is>
          <t>Föryngringsavverkning</t>
        </is>
      </c>
      <c r="D87" s="1" t="n">
        <v>45075</v>
      </c>
      <c r="E87" s="1" t="n">
        <v>46229</v>
      </c>
      <c r="F87" t="inlineStr">
        <is>
          <t>SKÅNE LÄN</t>
        </is>
      </c>
      <c r="G87" t="inlineStr">
        <is>
          <t>ÄNGELHOLM</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9578-2025</t>
        </is>
      </c>
      <c r="B88" t="inlineStr">
        <is>
          <t>avverkningsanmälan</t>
        </is>
      </c>
      <c r="C88" t="inlineStr">
        <is>
          <t>Föryngringsavverkning</t>
        </is>
      </c>
      <c r="D88" s="1" t="n">
        <v>45715</v>
      </c>
      <c r="E88" s="1" t="n">
        <v>46229</v>
      </c>
      <c r="F88" t="inlineStr">
        <is>
          <t>SKÅNE LÄN</t>
        </is>
      </c>
      <c r="G88" t="inlineStr">
        <is>
          <t>ÄNGELHOLM</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52519-2025</t>
        </is>
      </c>
      <c r="B89" t="inlineStr">
        <is>
          <t>avverkningsanmälan</t>
        </is>
      </c>
      <c r="C89" t="inlineStr">
        <is>
          <t>Föryngringsavverkning</t>
        </is>
      </c>
      <c r="D89" s="1" t="n">
        <v>45954</v>
      </c>
      <c r="E89" s="1" t="n">
        <v>46229</v>
      </c>
      <c r="F89" t="inlineStr">
        <is>
          <t>SKÅNE LÄN</t>
        </is>
      </c>
      <c r="G89" t="inlineStr">
        <is>
          <t>ÄNGELHOLM</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8882-2025</t>
        </is>
      </c>
      <c r="B90" t="inlineStr">
        <is>
          <t>avverkningsanmälan</t>
        </is>
      </c>
      <c r="C90" t="inlineStr">
        <is>
          <t>Föryngringsavverkning</t>
        </is>
      </c>
      <c r="D90" s="1" t="n">
        <v>45713</v>
      </c>
      <c r="E90" s="1" t="n">
        <v>46229</v>
      </c>
      <c r="F90" t="inlineStr">
        <is>
          <t>SKÅNE LÄN</t>
        </is>
      </c>
      <c r="G90" t="inlineStr">
        <is>
          <t>ÄNGELHOLM</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55728-2025</t>
        </is>
      </c>
      <c r="B91" t="inlineStr">
        <is>
          <t>avverkningsanmälan</t>
        </is>
      </c>
      <c r="C91" t="inlineStr">
        <is>
          <t>Föryngringsavverkning</t>
        </is>
      </c>
      <c r="D91" s="1" t="n">
        <v>45972</v>
      </c>
      <c r="E91" s="1" t="n">
        <v>46229</v>
      </c>
      <c r="F91" t="inlineStr">
        <is>
          <t>SKÅNE LÄN</t>
        </is>
      </c>
      <c r="G91" t="inlineStr">
        <is>
          <t>ÄNGELHOLM</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57725-2025</t>
        </is>
      </c>
      <c r="B92" t="inlineStr">
        <is>
          <t>avverkningsanmälan</t>
        </is>
      </c>
      <c r="C92" t="inlineStr">
        <is>
          <t>Föryngringsavverkning</t>
        </is>
      </c>
      <c r="D92" s="1" t="n">
        <v>45981</v>
      </c>
      <c r="E92" s="1" t="n">
        <v>46229</v>
      </c>
      <c r="F92" t="inlineStr">
        <is>
          <t>SKÅNE LÄN</t>
        </is>
      </c>
      <c r="G92" t="inlineStr">
        <is>
          <t>ÄNGELHOLM</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18571-2025</t>
        </is>
      </c>
      <c r="B93" t="inlineStr">
        <is>
          <t>avverkningsanmälan</t>
        </is>
      </c>
      <c r="C93" t="inlineStr">
        <is>
          <t>Föryngringsavverkning</t>
        </is>
      </c>
      <c r="D93" s="1" t="n">
        <v>45763</v>
      </c>
      <c r="E93" s="1" t="n">
        <v>46229</v>
      </c>
      <c r="F93" t="inlineStr">
        <is>
          <t>SKÅNE LÄN</t>
        </is>
      </c>
      <c r="G93" t="inlineStr">
        <is>
          <t>ÄNGELHOLM</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16419-2023</t>
        </is>
      </c>
      <c r="B94" t="inlineStr">
        <is>
          <t>avverkningsanmälan</t>
        </is>
      </c>
      <c r="C94" t="inlineStr">
        <is>
          <t>Föryngringsavverkning</t>
        </is>
      </c>
      <c r="D94" s="1" t="n">
        <v>45022</v>
      </c>
      <c r="E94" s="1" t="n">
        <v>46229</v>
      </c>
      <c r="F94" t="inlineStr">
        <is>
          <t>SKÅNE LÄN</t>
        </is>
      </c>
      <c r="G94" t="inlineStr">
        <is>
          <t>ÄNGELHOLM</t>
        </is>
      </c>
      <c r="I94" t="n">
        <v>4.2</v>
      </c>
      <c r="J94" t="n">
        <v>0</v>
      </c>
      <c r="K94" t="n">
        <v>0</v>
      </c>
      <c r="L94" t="n">
        <v>0</v>
      </c>
      <c r="M94" t="n">
        <v>0</v>
      </c>
      <c r="N94" t="n">
        <v>0</v>
      </c>
      <c r="O94" t="n">
        <v>0</v>
      </c>
      <c r="P94" t="n">
        <v>0</v>
      </c>
      <c r="Q94" t="n">
        <v>0</v>
      </c>
      <c r="R94" t="n">
        <v>0</v>
      </c>
      <c r="S94" t="n">
        <v>0</v>
      </c>
      <c r="T94" t="n">
        <v>0</v>
      </c>
      <c r="U94" t="n">
        <v>0</v>
      </c>
      <c r="V94" s="2" t="inlineStr"/>
    </row>
    <row r="95" ht="15" customHeight="1">
      <c r="A95" t="inlineStr">
        <is>
          <t>A 27551-2023</t>
        </is>
      </c>
      <c r="B95" t="inlineStr">
        <is>
          <t>avverkningsanmälan</t>
        </is>
      </c>
      <c r="C95" t="inlineStr">
        <is>
          <t>Föryngringsavverkning</t>
        </is>
      </c>
      <c r="D95" s="1" t="n">
        <v>45097</v>
      </c>
      <c r="E95" s="1" t="n">
        <v>46229</v>
      </c>
      <c r="F95" t="inlineStr">
        <is>
          <t>SKÅNE LÄN</t>
        </is>
      </c>
      <c r="G95" t="inlineStr">
        <is>
          <t>ÄNGELHOLM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2575-2024</t>
        </is>
      </c>
      <c r="B96" t="inlineStr">
        <is>
          <t>avverkningsanmälan</t>
        </is>
      </c>
      <c r="C96" t="inlineStr">
        <is>
          <t>Föryngringsavverkning</t>
        </is>
      </c>
      <c r="D96" s="1" t="n">
        <v>45313</v>
      </c>
      <c r="E96" s="1" t="n">
        <v>46229</v>
      </c>
      <c r="F96" t="inlineStr">
        <is>
          <t>SKÅNE LÄN</t>
        </is>
      </c>
      <c r="G96" t="inlineStr">
        <is>
          <t>ÄNGELHOLM</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4089-2024</t>
        </is>
      </c>
      <c r="B97" t="inlineStr">
        <is>
          <t>avverkningsanmälan</t>
        </is>
      </c>
      <c r="C97" t="inlineStr">
        <is>
          <t>Föryngringsavverkning</t>
        </is>
      </c>
      <c r="D97" s="1" t="n">
        <v>45323</v>
      </c>
      <c r="E97" s="1" t="n">
        <v>46229</v>
      </c>
      <c r="F97" t="inlineStr">
        <is>
          <t>SKÅNE LÄN</t>
        </is>
      </c>
      <c r="G97" t="inlineStr">
        <is>
          <t>ÄNGELHOLM</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28496-2023</t>
        </is>
      </c>
      <c r="B98" t="inlineStr">
        <is>
          <t>avverkningsanmälan</t>
        </is>
      </c>
      <c r="C98" t="inlineStr">
        <is>
          <t>Föryngringsavverkning</t>
        </is>
      </c>
      <c r="D98" s="1" t="n">
        <v>45103</v>
      </c>
      <c r="E98" s="1" t="n">
        <v>46229</v>
      </c>
      <c r="F98" t="inlineStr">
        <is>
          <t>SKÅNE LÄN</t>
        </is>
      </c>
      <c r="G98" t="inlineStr">
        <is>
          <t>ÄNGELHOLM</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1299-2024</t>
        </is>
      </c>
      <c r="B99" t="inlineStr">
        <is>
          <t>avverkningsanmälan</t>
        </is>
      </c>
      <c r="C99" t="inlineStr">
        <is>
          <t>Föryngringsavverkning</t>
        </is>
      </c>
      <c r="D99" s="1" t="n">
        <v>45303</v>
      </c>
      <c r="E99" s="1" t="n">
        <v>46229</v>
      </c>
      <c r="F99" t="inlineStr">
        <is>
          <t>SKÅNE LÄN</t>
        </is>
      </c>
      <c r="G99" t="inlineStr">
        <is>
          <t>ÄNGELHOLM</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29369-2026</t>
        </is>
      </c>
      <c r="B100" t="inlineStr">
        <is>
          <t>avverkningsanmälan</t>
        </is>
      </c>
      <c r="C100" t="inlineStr">
        <is>
          <t>Föryngringsavverkning</t>
        </is>
      </c>
      <c r="D100" s="1" t="n">
        <v>46203</v>
      </c>
      <c r="E100" s="1" t="n">
        <v>46229</v>
      </c>
      <c r="F100" t="inlineStr">
        <is>
          <t>SKÅNE LÄN</t>
        </is>
      </c>
      <c r="G100" t="inlineStr">
        <is>
          <t>ÄNGELHOLM</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32364-2023</t>
        </is>
      </c>
      <c r="B101" t="inlineStr">
        <is>
          <t>avverkningsanmälan</t>
        </is>
      </c>
      <c r="C101" t="inlineStr">
        <is>
          <t>Föryngringsavverkning</t>
        </is>
      </c>
      <c r="D101" s="1" t="n">
        <v>45120</v>
      </c>
      <c r="E101" s="1" t="n">
        <v>46229</v>
      </c>
      <c r="F101" t="inlineStr">
        <is>
          <t>SKÅNE LÄN</t>
        </is>
      </c>
      <c r="G101" t="inlineStr">
        <is>
          <t>ÄNGELHOLM</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31503-2023</t>
        </is>
      </c>
      <c r="B102" t="inlineStr">
        <is>
          <t>avverkningsanmälan</t>
        </is>
      </c>
      <c r="C102" t="inlineStr">
        <is>
          <t>Föryngringsavverkning</t>
        </is>
      </c>
      <c r="D102" s="1" t="n">
        <v>45115</v>
      </c>
      <c r="E102" s="1" t="n">
        <v>46229</v>
      </c>
      <c r="F102" t="inlineStr">
        <is>
          <t>SKÅNE LÄN</t>
        </is>
      </c>
      <c r="G102" t="inlineStr">
        <is>
          <t>ÄNGELHOLM</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39014-2023</t>
        </is>
      </c>
      <c r="B103" t="inlineStr">
        <is>
          <t>avverkningsanmälan</t>
        </is>
      </c>
      <c r="C103" t="inlineStr">
        <is>
          <t>Föryngringsavverkning</t>
        </is>
      </c>
      <c r="D103" s="1" t="n">
        <v>45163</v>
      </c>
      <c r="E103" s="1" t="n">
        <v>46229</v>
      </c>
      <c r="F103" t="inlineStr">
        <is>
          <t>SKÅNE LÄN</t>
        </is>
      </c>
      <c r="G103" t="inlineStr">
        <is>
          <t>ÄNGELHOLM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31908-2023</t>
        </is>
      </c>
      <c r="B104" t="inlineStr">
        <is>
          <t>avverkningsanmälan</t>
        </is>
      </c>
      <c r="C104" t="inlineStr">
        <is>
          <t>Föryngringsavverkning</t>
        </is>
      </c>
      <c r="D104" s="1" t="n">
        <v>45118</v>
      </c>
      <c r="E104" s="1" t="n">
        <v>46229</v>
      </c>
      <c r="F104" t="inlineStr">
        <is>
          <t>SKÅNE LÄN</t>
        </is>
      </c>
      <c r="G104" t="inlineStr">
        <is>
          <t>ÄNGELHOLM</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31502-2023</t>
        </is>
      </c>
      <c r="B105" t="inlineStr">
        <is>
          <t>avverkningsanmälan</t>
        </is>
      </c>
      <c r="C105" t="inlineStr">
        <is>
          <t>Föryngringsavverkning</t>
        </is>
      </c>
      <c r="D105" s="1" t="n">
        <v>45115</v>
      </c>
      <c r="E105" s="1" t="n">
        <v>46229</v>
      </c>
      <c r="F105" t="inlineStr">
        <is>
          <t>SKÅNE LÄN</t>
        </is>
      </c>
      <c r="G105" t="inlineStr">
        <is>
          <t>ÄNGELHOLM</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27097-2026</t>
        </is>
      </c>
      <c r="B106" t="inlineStr">
        <is>
          <t>avverkningsanmälan</t>
        </is>
      </c>
      <c r="C106" t="inlineStr">
        <is>
          <t>Föryngringsavverkning</t>
        </is>
      </c>
      <c r="D106" s="1" t="n">
        <v>46188</v>
      </c>
      <c r="E106" s="1" t="n">
        <v>46229</v>
      </c>
      <c r="F106" t="inlineStr">
        <is>
          <t>SKÅNE LÄN</t>
        </is>
      </c>
      <c r="G106" t="inlineStr">
        <is>
          <t>ÄNGELHOLM</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28253-2023</t>
        </is>
      </c>
      <c r="B107" t="inlineStr">
        <is>
          <t>avverkningsanmälan</t>
        </is>
      </c>
      <c r="C107" t="inlineStr">
        <is>
          <t>Föryngringsavverkning</t>
        </is>
      </c>
      <c r="D107" s="1" t="n">
        <v>45099</v>
      </c>
      <c r="E107" s="1" t="n">
        <v>46229</v>
      </c>
      <c r="F107" t="inlineStr">
        <is>
          <t>SKÅNE LÄN</t>
        </is>
      </c>
      <c r="G107" t="inlineStr">
        <is>
          <t>ÄNGELHOLM</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19255-2026</t>
        </is>
      </c>
      <c r="B108" t="inlineStr">
        <is>
          <t>avverkningsanmälan</t>
        </is>
      </c>
      <c r="C108" t="inlineStr">
        <is>
          <t>Föryngringsavverkning</t>
        </is>
      </c>
      <c r="D108" s="1" t="n">
        <v>46132</v>
      </c>
      <c r="E108" s="1" t="n">
        <v>46229</v>
      </c>
      <c r="F108" t="inlineStr">
        <is>
          <t>SKÅNE LÄN</t>
        </is>
      </c>
      <c r="G108" t="inlineStr">
        <is>
          <t>ÄNGELHOLM</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19256-2026</t>
        </is>
      </c>
      <c r="B109" t="inlineStr">
        <is>
          <t>avverkningsanmälan</t>
        </is>
      </c>
      <c r="C109" t="inlineStr">
        <is>
          <t>Föryngringsavverkning</t>
        </is>
      </c>
      <c r="D109" s="1" t="n">
        <v>46132</v>
      </c>
      <c r="E109" s="1" t="n">
        <v>46229</v>
      </c>
      <c r="F109" t="inlineStr">
        <is>
          <t>SKÅNE LÄN</t>
        </is>
      </c>
      <c r="G109" t="inlineStr">
        <is>
          <t>ÄNGELHOLM</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21488-2023</t>
        </is>
      </c>
      <c r="B110" t="inlineStr">
        <is>
          <t>avverkningsanmälan</t>
        </is>
      </c>
      <c r="C110" t="inlineStr">
        <is>
          <t>Föryngringsavverkning</t>
        </is>
      </c>
      <c r="D110" s="1" t="n">
        <v>45061</v>
      </c>
      <c r="E110" s="1" t="n">
        <v>46229</v>
      </c>
      <c r="F110" t="inlineStr">
        <is>
          <t>SKÅNE LÄN</t>
        </is>
      </c>
      <c r="G110" t="inlineStr">
        <is>
          <t>ÄNGELHOLM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9055-2026</t>
        </is>
      </c>
      <c r="B111" t="inlineStr">
        <is>
          <t>avverkningsanmälan</t>
        </is>
      </c>
      <c r="C111" t="inlineStr">
        <is>
          <t>Föryngringsavverkning</t>
        </is>
      </c>
      <c r="D111" s="1" t="n">
        <v>46069</v>
      </c>
      <c r="E111" s="1" t="n">
        <v>46229</v>
      </c>
      <c r="F111" t="inlineStr">
        <is>
          <t>SKÅNE LÄN</t>
        </is>
      </c>
      <c r="G111" t="inlineStr">
        <is>
          <t>ÄNGELHOLM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7994-2023</t>
        </is>
      </c>
      <c r="B112" t="inlineStr">
        <is>
          <t>avverkningsanmälan</t>
        </is>
      </c>
      <c r="C112" t="inlineStr">
        <is>
          <t>Föryngringsavverkning</t>
        </is>
      </c>
      <c r="D112" s="1" t="n">
        <v>44973</v>
      </c>
      <c r="E112" s="1" t="n">
        <v>46229</v>
      </c>
      <c r="F112" t="inlineStr">
        <is>
          <t>SKÅNE LÄN</t>
        </is>
      </c>
      <c r="G112" t="inlineStr">
        <is>
          <t>ÄNGELHOLM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27553-2023</t>
        </is>
      </c>
      <c r="B113" t="inlineStr">
        <is>
          <t>avverkningsanmälan</t>
        </is>
      </c>
      <c r="C113" t="inlineStr">
        <is>
          <t>Föryngringsavverkning</t>
        </is>
      </c>
      <c r="D113" s="1" t="n">
        <v>45097</v>
      </c>
      <c r="E113" s="1" t="n">
        <v>46229</v>
      </c>
      <c r="F113" t="inlineStr">
        <is>
          <t>SKÅNE LÄN</t>
        </is>
      </c>
      <c r="G113" t="inlineStr">
        <is>
          <t>ÄNGELHOLM</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43857-2025</t>
        </is>
      </c>
      <c r="B114" t="inlineStr">
        <is>
          <t>avverkningsanmälan</t>
        </is>
      </c>
      <c r="C114" t="inlineStr">
        <is>
          <t>Föryngringsavverkning</t>
        </is>
      </c>
      <c r="D114" s="1" t="n">
        <v>45912</v>
      </c>
      <c r="E114" s="1" t="n">
        <v>46229</v>
      </c>
      <c r="F114" t="inlineStr">
        <is>
          <t>SKÅNE LÄN</t>
        </is>
      </c>
      <c r="G114" t="inlineStr">
        <is>
          <t>ÄNGELHOLM</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53501-2022</t>
        </is>
      </c>
      <c r="B115" t="inlineStr">
        <is>
          <t>avverkningsanmälan</t>
        </is>
      </c>
      <c r="C115" t="inlineStr">
        <is>
          <t>Föryngringsavverkning</t>
        </is>
      </c>
      <c r="D115" s="1" t="n">
        <v>44879</v>
      </c>
      <c r="E115" s="1" t="n">
        <v>46229</v>
      </c>
      <c r="F115" t="inlineStr">
        <is>
          <t>SKÅNE LÄN</t>
        </is>
      </c>
      <c r="G115" t="inlineStr">
        <is>
          <t>ÄNGELHOLM</t>
        </is>
      </c>
      <c r="I115" t="n">
        <v>7.2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60227-2025</t>
        </is>
      </c>
      <c r="B116" t="inlineStr">
        <is>
          <t>avverkningsanmälan</t>
        </is>
      </c>
      <c r="C116" t="inlineStr">
        <is>
          <t>Föryngringsavverkning</t>
        </is>
      </c>
      <c r="D116" s="1" t="n">
        <v>45994</v>
      </c>
      <c r="E116" s="1" t="n">
        <v>46229</v>
      </c>
      <c r="F116" t="inlineStr">
        <is>
          <t>SKÅNE LÄN</t>
        </is>
      </c>
      <c r="G116" t="inlineStr">
        <is>
          <t>ÄNGELHOLM</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54709-2023</t>
        </is>
      </c>
      <c r="B117" t="inlineStr">
        <is>
          <t>avverkningsanmälan</t>
        </is>
      </c>
      <c r="C117" t="inlineStr">
        <is>
          <t>Föryngringsavverkning</t>
        </is>
      </c>
      <c r="D117" s="1" t="n">
        <v>45236</v>
      </c>
      <c r="E117" s="1" t="n">
        <v>46229</v>
      </c>
      <c r="F117" t="inlineStr">
        <is>
          <t>SKÅNE LÄN</t>
        </is>
      </c>
      <c r="G117" t="inlineStr">
        <is>
          <t>ÄNGELHOLM</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12148-2024</t>
        </is>
      </c>
      <c r="B118" t="inlineStr">
        <is>
          <t>avverkningsanmälan</t>
        </is>
      </c>
      <c r="C118" t="inlineStr">
        <is>
          <t>Föryngringsavverkning</t>
        </is>
      </c>
      <c r="D118" s="1" t="n">
        <v>45377</v>
      </c>
      <c r="E118" s="1" t="n">
        <v>46229</v>
      </c>
      <c r="F118" t="inlineStr">
        <is>
          <t>SKÅNE LÄN</t>
        </is>
      </c>
      <c r="G118" t="inlineStr">
        <is>
          <t>ÄNGELHOLM</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19500-2022</t>
        </is>
      </c>
      <c r="B119" t="inlineStr">
        <is>
          <t>avverkningsanmälan</t>
        </is>
      </c>
      <c r="C119" t="inlineStr">
        <is>
          <t>Föryngringsavverkning</t>
        </is>
      </c>
      <c r="D119" s="1" t="n">
        <v>44693</v>
      </c>
      <c r="E119" s="1" t="n">
        <v>46229</v>
      </c>
      <c r="F119" t="inlineStr">
        <is>
          <t>SKÅNE LÄN</t>
        </is>
      </c>
      <c r="G119" t="inlineStr">
        <is>
          <t>ÄNGELHOLM</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9803-2026</t>
        </is>
      </c>
      <c r="B120" t="inlineStr">
        <is>
          <t>avverkningsanmälan</t>
        </is>
      </c>
      <c r="C120" t="inlineStr">
        <is>
          <t>Föryngringsavverkning</t>
        </is>
      </c>
      <c r="D120" s="1" t="n">
        <v>46072</v>
      </c>
      <c r="E120" s="1" t="n">
        <v>46229</v>
      </c>
      <c r="F120" t="inlineStr">
        <is>
          <t>SKÅNE LÄN</t>
        </is>
      </c>
      <c r="G120" t="inlineStr">
        <is>
          <t>ÄNGELHOLM</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4605-2025</t>
        </is>
      </c>
      <c r="B121" t="inlineStr">
        <is>
          <t>avverkningsanmälan</t>
        </is>
      </c>
      <c r="C121" t="inlineStr">
        <is>
          <t>Föryngringsavverkning</t>
        </is>
      </c>
      <c r="D121" s="1" t="n">
        <v>45687</v>
      </c>
      <c r="E121" s="1" t="n">
        <v>46229</v>
      </c>
      <c r="F121" t="inlineStr">
        <is>
          <t>SKÅNE LÄN</t>
        </is>
      </c>
      <c r="G121" t="inlineStr">
        <is>
          <t>ÄNGELHOLM</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13278-2026</t>
        </is>
      </c>
      <c r="B122" t="inlineStr">
        <is>
          <t>avverkningsanmälan</t>
        </is>
      </c>
      <c r="C122" t="inlineStr">
        <is>
          <t>Föryngringsavverkning</t>
        </is>
      </c>
      <c r="D122" s="1" t="n">
        <v>46093</v>
      </c>
      <c r="E122" s="1" t="n">
        <v>46229</v>
      </c>
      <c r="F122" t="inlineStr">
        <is>
          <t>SKÅNE LÄN</t>
        </is>
      </c>
      <c r="G122" t="inlineStr">
        <is>
          <t>ÄNGELHOLM</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31720-2023</t>
        </is>
      </c>
      <c r="B123" t="inlineStr">
        <is>
          <t>avverkningsanmälan</t>
        </is>
      </c>
      <c r="C123" t="inlineStr">
        <is>
          <t>Föryngringsavverkning</t>
        </is>
      </c>
      <c r="D123" s="1" t="n">
        <v>45117</v>
      </c>
      <c r="E123" s="1" t="n">
        <v>46229</v>
      </c>
      <c r="F123" t="inlineStr">
        <is>
          <t>SKÅNE LÄN</t>
        </is>
      </c>
      <c r="G123" t="inlineStr">
        <is>
          <t>ÄNGELHOLM</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26986-2026</t>
        </is>
      </c>
      <c r="B124" t="inlineStr">
        <is>
          <t>avverkningsanmälan</t>
        </is>
      </c>
      <c r="C124" t="inlineStr">
        <is>
          <t>Föryngringsavverkning</t>
        </is>
      </c>
      <c r="D124" s="1" t="n">
        <v>46185</v>
      </c>
      <c r="E124" s="1" t="n">
        <v>46229</v>
      </c>
      <c r="F124" t="inlineStr">
        <is>
          <t>SKÅNE LÄN</t>
        </is>
      </c>
      <c r="G124" t="inlineStr">
        <is>
          <t>ÄNGELHOLM</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26978-2026</t>
        </is>
      </c>
      <c r="B125" t="inlineStr">
        <is>
          <t>avverkningsanmälan</t>
        </is>
      </c>
      <c r="C125" t="inlineStr">
        <is>
          <t>Föryngringsavverkning</t>
        </is>
      </c>
      <c r="D125" s="1" t="n">
        <v>46185</v>
      </c>
      <c r="E125" s="1" t="n">
        <v>46229</v>
      </c>
      <c r="F125" t="inlineStr">
        <is>
          <t>SKÅNE LÄN</t>
        </is>
      </c>
      <c r="G125" t="inlineStr">
        <is>
          <t>ÄNGELHOLM</t>
        </is>
      </c>
      <c r="I125" t="n">
        <v>7.7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7707-2025</t>
        </is>
      </c>
      <c r="B126" t="inlineStr">
        <is>
          <t>avverkningsanmälan</t>
        </is>
      </c>
      <c r="C126" t="inlineStr">
        <is>
          <t>Föryngringsavverkning</t>
        </is>
      </c>
      <c r="D126" s="1" t="n">
        <v>45705</v>
      </c>
      <c r="E126" s="1" t="n">
        <v>46229</v>
      </c>
      <c r="F126" t="inlineStr">
        <is>
          <t>SKÅNE LÄN</t>
        </is>
      </c>
      <c r="G126" t="inlineStr">
        <is>
          <t>ÄNGELHOLM</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16314-2024</t>
        </is>
      </c>
      <c r="B127" t="inlineStr">
        <is>
          <t>avverkningsanmälan</t>
        </is>
      </c>
      <c r="C127" t="inlineStr">
        <is>
          <t>Föryngringsavverkning</t>
        </is>
      </c>
      <c r="D127" s="1" t="n">
        <v>45407</v>
      </c>
      <c r="E127" s="1" t="n">
        <v>46229</v>
      </c>
      <c r="F127" t="inlineStr">
        <is>
          <t>SKÅNE LÄN</t>
        </is>
      </c>
      <c r="G127" t="inlineStr">
        <is>
          <t>ÄNGELHOLM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19650-2026</t>
        </is>
      </c>
      <c r="B128" t="inlineStr">
        <is>
          <t>avverkningsanmälan</t>
        </is>
      </c>
      <c r="C128" t="inlineStr">
        <is>
          <t>Föryngringsavverkning</t>
        </is>
      </c>
      <c r="D128" s="1" t="n">
        <v>46134</v>
      </c>
      <c r="E128" s="1" t="n">
        <v>46229</v>
      </c>
      <c r="F128" t="inlineStr">
        <is>
          <t>SKÅNE LÄN</t>
        </is>
      </c>
      <c r="G128" t="inlineStr">
        <is>
          <t>ÄNGELHOLM</t>
        </is>
      </c>
      <c r="I128" t="n">
        <v>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31576-2026</t>
        </is>
      </c>
      <c r="B129" t="inlineStr">
        <is>
          <t>avverkningsanmälan</t>
        </is>
      </c>
      <c r="C129" t="inlineStr">
        <is>
          <t>Föryngringsavverkning</t>
        </is>
      </c>
      <c r="D129" s="1" t="n">
        <v>46224</v>
      </c>
      <c r="E129" s="1" t="n">
        <v>46229</v>
      </c>
      <c r="F129" t="inlineStr">
        <is>
          <t>SKÅNE LÄN</t>
        </is>
      </c>
      <c r="G129" t="inlineStr">
        <is>
          <t>ÄNGELHOLM</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34514-2023</t>
        </is>
      </c>
      <c r="B130" t="inlineStr">
        <is>
          <t>avverkningsanmälan</t>
        </is>
      </c>
      <c r="C130" t="inlineStr">
        <is>
          <t>Föryngringsavverkning</t>
        </is>
      </c>
      <c r="D130" s="1" t="n">
        <v>45140</v>
      </c>
      <c r="E130" s="1" t="n">
        <v>46229</v>
      </c>
      <c r="F130" t="inlineStr">
        <is>
          <t>SKÅNE LÄN</t>
        </is>
      </c>
      <c r="G130" t="inlineStr">
        <is>
          <t>ÄNGELHOLM</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46613-2024</t>
        </is>
      </c>
      <c r="B131" t="inlineStr">
        <is>
          <t>avverkningsanmälan</t>
        </is>
      </c>
      <c r="C131" t="inlineStr">
        <is>
          <t>Föryngringsavverkning</t>
        </is>
      </c>
      <c r="D131" s="1" t="n">
        <v>45583</v>
      </c>
      <c r="E131" s="1" t="n">
        <v>46229</v>
      </c>
      <c r="F131" t="inlineStr">
        <is>
          <t>SKÅNE LÄN</t>
        </is>
      </c>
      <c r="G131" t="inlineStr">
        <is>
          <t>ÄNGELHOLM</t>
        </is>
      </c>
      <c r="I131" t="n">
        <v>6.2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23976-2024</t>
        </is>
      </c>
      <c r="B132" t="inlineStr">
        <is>
          <t>avverkningsanmälan</t>
        </is>
      </c>
      <c r="C132" t="inlineStr">
        <is>
          <t>Föryngringsavverkning</t>
        </is>
      </c>
      <c r="D132" s="1" t="n">
        <v>45456</v>
      </c>
      <c r="E132" s="1" t="n">
        <v>46229</v>
      </c>
      <c r="F132" t="inlineStr">
        <is>
          <t>SKÅNE LÄN</t>
        </is>
      </c>
      <c r="G132" t="inlineStr">
        <is>
          <t>ÄNGELHOLM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40278-2023</t>
        </is>
      </c>
      <c r="B133" t="inlineStr">
        <is>
          <t>avverkningsanmälan</t>
        </is>
      </c>
      <c r="C133" t="inlineStr">
        <is>
          <t>Föryngringsavverkning</t>
        </is>
      </c>
      <c r="D133" s="1" t="n">
        <v>45169</v>
      </c>
      <c r="E133" s="1" t="n">
        <v>46229</v>
      </c>
      <c r="F133" t="inlineStr">
        <is>
          <t>SKÅNE LÄN</t>
        </is>
      </c>
      <c r="G133" t="inlineStr">
        <is>
          <t>ÄNGELHOLM</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7871-2025</t>
        </is>
      </c>
      <c r="B134" t="inlineStr">
        <is>
          <t>avverkningsanmälan</t>
        </is>
      </c>
      <c r="C134" t="inlineStr">
        <is>
          <t>Föryngringsavverkning</t>
        </is>
      </c>
      <c r="D134" s="1" t="n">
        <v>45706</v>
      </c>
      <c r="E134" s="1" t="n">
        <v>46229</v>
      </c>
      <c r="F134" t="inlineStr">
        <is>
          <t>SKÅNE LÄN</t>
        </is>
      </c>
      <c r="G134" t="inlineStr">
        <is>
          <t>ÄNGELHOLM</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32430-2023</t>
        </is>
      </c>
      <c r="B135" t="inlineStr">
        <is>
          <t>avverkningsanmälan</t>
        </is>
      </c>
      <c r="C135" t="inlineStr">
        <is>
          <t>Föryngringsavverkning</t>
        </is>
      </c>
      <c r="D135" s="1" t="n">
        <v>45120</v>
      </c>
      <c r="E135" s="1" t="n">
        <v>46229</v>
      </c>
      <c r="F135" t="inlineStr">
        <is>
          <t>SKÅNE LÄN</t>
        </is>
      </c>
      <c r="G135" t="inlineStr">
        <is>
          <t>ÄNGELHOLM</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29436-2024</t>
        </is>
      </c>
      <c r="B136" t="inlineStr">
        <is>
          <t>avverkningsanmälan</t>
        </is>
      </c>
      <c r="C136" t="inlineStr">
        <is>
          <t>Föryngringsavverkning</t>
        </is>
      </c>
      <c r="D136" s="1" t="n">
        <v>45483</v>
      </c>
      <c r="E136" s="1" t="n">
        <v>46229</v>
      </c>
      <c r="F136" t="inlineStr">
        <is>
          <t>SKÅNE LÄN</t>
        </is>
      </c>
      <c r="G136" t="inlineStr">
        <is>
          <t>ÄNGELHOLM</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58150-2024</t>
        </is>
      </c>
      <c r="B137" t="inlineStr">
        <is>
          <t>avverkningsanmälan</t>
        </is>
      </c>
      <c r="C137" t="inlineStr">
        <is>
          <t>Föryngringsavverkning</t>
        </is>
      </c>
      <c r="D137" s="1" t="n">
        <v>45632</v>
      </c>
      <c r="E137" s="1" t="n">
        <v>46229</v>
      </c>
      <c r="F137" t="inlineStr">
        <is>
          <t>SKÅNE LÄN</t>
        </is>
      </c>
      <c r="G137" t="inlineStr">
        <is>
          <t>ÄNGELHOLM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28264-2022</t>
        </is>
      </c>
      <c r="B138" t="inlineStr">
        <is>
          <t>avverkningsanmälan</t>
        </is>
      </c>
      <c r="C138" t="inlineStr">
        <is>
          <t>Föryngringsavverkning</t>
        </is>
      </c>
      <c r="D138" s="1" t="n">
        <v>44746</v>
      </c>
      <c r="E138" s="1" t="n">
        <v>46229</v>
      </c>
      <c r="F138" t="inlineStr">
        <is>
          <t>SKÅNE LÄN</t>
        </is>
      </c>
      <c r="G138" t="inlineStr">
        <is>
          <t>ÄNGELHOLM</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31709-2023</t>
        </is>
      </c>
      <c r="B139" t="inlineStr">
        <is>
          <t>avverkningsanmälan</t>
        </is>
      </c>
      <c r="C139" t="inlineStr">
        <is>
          <t>Föryngringsavverkning</t>
        </is>
      </c>
      <c r="D139" s="1" t="n">
        <v>45117</v>
      </c>
      <c r="E139" s="1" t="n">
        <v>46229</v>
      </c>
      <c r="F139" t="inlineStr">
        <is>
          <t>SKÅNE LÄN</t>
        </is>
      </c>
      <c r="G139" t="inlineStr">
        <is>
          <t>ÄNGELHOLM</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8665-2022</t>
        </is>
      </c>
      <c r="B140" t="inlineStr">
        <is>
          <t>avverkningsanmälan</t>
        </is>
      </c>
      <c r="C140" t="inlineStr">
        <is>
          <t>Föryngringsavverkning</t>
        </is>
      </c>
      <c r="D140" s="1" t="n">
        <v>44613</v>
      </c>
      <c r="E140" s="1" t="n">
        <v>46229</v>
      </c>
      <c r="F140" t="inlineStr">
        <is>
          <t>SKÅNE LÄN</t>
        </is>
      </c>
      <c r="G140" t="inlineStr">
        <is>
          <t>ÄNGELHOLM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60-2024</t>
        </is>
      </c>
      <c r="B141" t="inlineStr">
        <is>
          <t>avverkningsanmälan</t>
        </is>
      </c>
      <c r="C141" t="inlineStr">
        <is>
          <t>Föryngringsavverkning</t>
        </is>
      </c>
      <c r="D141" s="1" t="n">
        <v>45293</v>
      </c>
      <c r="E141" s="1" t="n">
        <v>46229</v>
      </c>
      <c r="F141" t="inlineStr">
        <is>
          <t>SKÅNE LÄN</t>
        </is>
      </c>
      <c r="G141" t="inlineStr">
        <is>
          <t>ÄNGELHOLM</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607-2024</t>
        </is>
      </c>
      <c r="B142" t="inlineStr">
        <is>
          <t>avverkningsanmälan</t>
        </is>
      </c>
      <c r="C142" t="inlineStr">
        <is>
          <t>Föryngringsavverkning</t>
        </is>
      </c>
      <c r="D142" s="1" t="n">
        <v>45299</v>
      </c>
      <c r="E142" s="1" t="n">
        <v>46229</v>
      </c>
      <c r="F142" t="inlineStr">
        <is>
          <t>SKÅNE LÄN</t>
        </is>
      </c>
      <c r="G142" t="inlineStr">
        <is>
          <t>ÄNGELHOLM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49206-2024</t>
        </is>
      </c>
      <c r="B143" t="inlineStr">
        <is>
          <t>avverkningsanmälan</t>
        </is>
      </c>
      <c r="C143" t="inlineStr">
        <is>
          <t>Föryngringsavverkning</t>
        </is>
      </c>
      <c r="D143" s="1" t="n">
        <v>45595</v>
      </c>
      <c r="E143" s="1" t="n">
        <v>46229</v>
      </c>
      <c r="F143" t="inlineStr">
        <is>
          <t>SKÅNE LÄN</t>
        </is>
      </c>
      <c r="G143" t="inlineStr">
        <is>
          <t>ÄNGELHOLM</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19503-2022</t>
        </is>
      </c>
      <c r="B144" t="inlineStr">
        <is>
          <t>avverkningsanmälan</t>
        </is>
      </c>
      <c r="C144" t="inlineStr">
        <is>
          <t>Föryngringsavverkning</t>
        </is>
      </c>
      <c r="D144" s="1" t="n">
        <v>44693</v>
      </c>
      <c r="E144" s="1" t="n">
        <v>46229</v>
      </c>
      <c r="F144" t="inlineStr">
        <is>
          <t>SKÅNE LÄN</t>
        </is>
      </c>
      <c r="G144" t="inlineStr">
        <is>
          <t>ÄNGELHOLM</t>
        </is>
      </c>
      <c r="I144" t="n">
        <v>5.1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57923-2024</t>
        </is>
      </c>
      <c r="B145" t="inlineStr">
        <is>
          <t>avverkningsanmälan</t>
        </is>
      </c>
      <c r="C145" t="inlineStr">
        <is>
          <t>Föryngringsavverkning</t>
        </is>
      </c>
      <c r="D145" s="1" t="n">
        <v>45631</v>
      </c>
      <c r="E145" s="1" t="n">
        <v>46229</v>
      </c>
      <c r="F145" t="inlineStr">
        <is>
          <t>SKÅNE LÄN</t>
        </is>
      </c>
      <c r="G145" t="inlineStr">
        <is>
          <t>ÄNGELHOLM</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20635-2024</t>
        </is>
      </c>
      <c r="B146" t="inlineStr">
        <is>
          <t>avverkningsanmälan</t>
        </is>
      </c>
      <c r="C146" t="inlineStr">
        <is>
          <t>Föryngringsavverkning</t>
        </is>
      </c>
      <c r="D146" s="1" t="n">
        <v>45436</v>
      </c>
      <c r="E146" s="1" t="n">
        <v>46229</v>
      </c>
      <c r="F146" t="inlineStr">
        <is>
          <t>SKÅNE LÄN</t>
        </is>
      </c>
      <c r="G146" t="inlineStr">
        <is>
          <t>ÄNGELHOLM</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23980-2024</t>
        </is>
      </c>
      <c r="B147" t="inlineStr">
        <is>
          <t>avverkningsanmälan</t>
        </is>
      </c>
      <c r="C147" t="inlineStr">
        <is>
          <t>Föryngringsavverkning</t>
        </is>
      </c>
      <c r="D147" s="1" t="n">
        <v>45456</v>
      </c>
      <c r="E147" s="1" t="n">
        <v>46229</v>
      </c>
      <c r="F147" t="inlineStr">
        <is>
          <t>SKÅNE LÄN</t>
        </is>
      </c>
      <c r="G147" t="inlineStr">
        <is>
          <t>ÄNGELHOLM</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55748-2024</t>
        </is>
      </c>
      <c r="B148" t="inlineStr">
        <is>
          <t>avverkningsanmälan</t>
        </is>
      </c>
      <c r="C148" t="inlineStr">
        <is>
          <t>Föryngringsavverkning</t>
        </is>
      </c>
      <c r="D148" s="1" t="n">
        <v>45623</v>
      </c>
      <c r="E148" s="1" t="n">
        <v>46229</v>
      </c>
      <c r="F148" t="inlineStr">
        <is>
          <t>SKÅNE LÄN</t>
        </is>
      </c>
      <c r="G148" t="inlineStr">
        <is>
          <t>ÄNGELHOLM</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48197-2024</t>
        </is>
      </c>
      <c r="B149" t="inlineStr">
        <is>
          <t>avverkningsanmälan</t>
        </is>
      </c>
      <c r="C149" t="inlineStr">
        <is>
          <t>Föryngringsavverkning</t>
        </is>
      </c>
      <c r="D149" s="1" t="n">
        <v>45590</v>
      </c>
      <c r="E149" s="1" t="n">
        <v>46229</v>
      </c>
      <c r="F149" t="inlineStr">
        <is>
          <t>SKÅNE LÄN</t>
        </is>
      </c>
      <c r="G149" t="inlineStr">
        <is>
          <t>ÄNGELHOLM</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55529-2024</t>
        </is>
      </c>
      <c r="B150" t="inlineStr">
        <is>
          <t>avverkningsanmälan</t>
        </is>
      </c>
      <c r="C150" t="inlineStr">
        <is>
          <t>Föryngringsavverkning</t>
        </is>
      </c>
      <c r="D150" s="1" t="n">
        <v>45622</v>
      </c>
      <c r="E150" s="1" t="n">
        <v>46229</v>
      </c>
      <c r="F150" t="inlineStr">
        <is>
          <t>SKÅNE LÄN</t>
        </is>
      </c>
      <c r="G150" t="inlineStr">
        <is>
          <t>ÄNGELHOLM</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32020-2025</t>
        </is>
      </c>
      <c r="B151" t="inlineStr">
        <is>
          <t>avverkningsanmälan</t>
        </is>
      </c>
      <c r="C151" t="inlineStr">
        <is>
          <t>Föryngringsavverkning</t>
        </is>
      </c>
      <c r="D151" s="1" t="n">
        <v>45835</v>
      </c>
      <c r="E151" s="1" t="n">
        <v>46229</v>
      </c>
      <c r="F151" t="inlineStr">
        <is>
          <t>SKÅNE LÄN</t>
        </is>
      </c>
      <c r="G151" t="inlineStr">
        <is>
          <t>ÄNGELHOLM</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13662-2025</t>
        </is>
      </c>
      <c r="B152" t="inlineStr">
        <is>
          <t>avverkningsanmälan</t>
        </is>
      </c>
      <c r="C152" t="inlineStr">
        <is>
          <t>Föryngringsavverkning</t>
        </is>
      </c>
      <c r="D152" s="1" t="n">
        <v>45736</v>
      </c>
      <c r="E152" s="1" t="n">
        <v>46229</v>
      </c>
      <c r="F152" t="inlineStr">
        <is>
          <t>SKÅNE LÄN</t>
        </is>
      </c>
      <c r="G152" t="inlineStr">
        <is>
          <t>ÄNGELHOLM</t>
        </is>
      </c>
      <c r="I152" t="n">
        <v>6.4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46229</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46229</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46229</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46229</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46229</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46229</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46229</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46229</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46229</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2026-07-26T01:49:22Z</dcterms:created>
  <dcterms:modified xmlns:dcterms="http://purl.org/dc/terms/" xmlns:xsi="http://www.w3.org/2001/XMLSchema-instance" xsi:type="dcterms:W3CDTF">2026-07-26T01:49:22Z</dcterms:modified>
</cp:coreProperties>
</file>