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45986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45986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45986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45986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45986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38763-2025</t>
        </is>
      </c>
      <c r="B15" s="1" t="n">
        <v>45887</v>
      </c>
      <c r="C15" s="1" t="n">
        <v>45986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HYPERLINK("https://klasma.github.io/Logging_1292/artfynd/A 38763-2025 artfynd.xlsx", "A 38763-2025")</f>
        <v/>
      </c>
      <c r="T15">
        <f>HYPERLINK("https://klasma.github.io/Logging_1292/kartor/A 38763-2025 karta.png", "A 38763-2025")</f>
        <v/>
      </c>
      <c r="V15">
        <f>HYPERLINK("https://klasma.github.io/Logging_1292/klagomål/A 38763-2025 FSC-klagomål.docx", "A 38763-2025")</f>
        <v/>
      </c>
      <c r="W15">
        <f>HYPERLINK("https://klasma.github.io/Logging_1292/klagomålsmail/A 38763-2025 FSC-klagomål mail.docx", "A 38763-2025")</f>
        <v/>
      </c>
      <c r="X15">
        <f>HYPERLINK("https://klasma.github.io/Logging_1292/tillsyn/A 38763-2025 tillsynsbegäran.docx", "A 38763-2025")</f>
        <v/>
      </c>
      <c r="Y15">
        <f>HYPERLINK("https://klasma.github.io/Logging_1292/tillsynsmail/A 38763-2025 tillsynsbegäran mail.docx", "A 38763-2025")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45986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45986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45986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45986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45986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45986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45986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45986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45986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45986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45986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45986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45986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45986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23980-2024</t>
        </is>
      </c>
      <c r="B48" s="1" t="n">
        <v>45456</v>
      </c>
      <c r="C48" s="1" t="n">
        <v>45986</v>
      </c>
      <c r="D48" t="inlineStr">
        <is>
          <t>SKÅNE LÄN</t>
        </is>
      </c>
      <c r="E48" t="inlineStr">
        <is>
          <t>ÄNGELHOLM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55748-2024</t>
        </is>
      </c>
      <c r="B49" s="1" t="n">
        <v>45623.3237962963</v>
      </c>
      <c r="C49" s="1" t="n">
        <v>45986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45986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48197-2024</t>
        </is>
      </c>
      <c r="B51" s="1" t="n">
        <v>45590</v>
      </c>
      <c r="C51" s="1" t="n">
        <v>45986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39810-2025</t>
        </is>
      </c>
      <c r="B52" s="1" t="n">
        <v>45891.5194675926</v>
      </c>
      <c r="C52" s="1" t="n">
        <v>45986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40287-2025</t>
        </is>
      </c>
      <c r="B53" s="1" t="n">
        <v>45895</v>
      </c>
      <c r="C53" s="1" t="n">
        <v>45986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41166-2025</t>
        </is>
      </c>
      <c r="B54" s="1" t="n">
        <v>45898</v>
      </c>
      <c r="C54" s="1" t="n">
        <v>45986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45986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45986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42826-2025</t>
        </is>
      </c>
      <c r="B57" s="1" t="n">
        <v>45908.57619212963</v>
      </c>
      <c r="C57" s="1" t="n">
        <v>45986</v>
      </c>
      <c r="D57" t="inlineStr">
        <is>
          <t>SKÅNE LÄN</t>
        </is>
      </c>
      <c r="E57" t="inlineStr">
        <is>
          <t>ÄNGELHOLM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46702-2024</t>
        </is>
      </c>
      <c r="B58" s="1" t="n">
        <v>45583</v>
      </c>
      <c r="C58" s="1" t="n">
        <v>45986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5046-2022</t>
        </is>
      </c>
      <c r="B59" s="1" t="n">
        <v>44593.68116898148</v>
      </c>
      <c r="C59" s="1" t="n">
        <v>45986</v>
      </c>
      <c r="D59" t="inlineStr">
        <is>
          <t>SKÅNE LÄN</t>
        </is>
      </c>
      <c r="E59" t="inlineStr">
        <is>
          <t>ÄNGELHOLM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45986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45986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45912.64872685185</v>
      </c>
      <c r="C62" s="1" t="n">
        <v>45986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44012-2025</t>
        </is>
      </c>
      <c r="B63" s="1" t="n">
        <v>45915</v>
      </c>
      <c r="C63" s="1" t="n">
        <v>45986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55545-2022</t>
        </is>
      </c>
      <c r="B64" s="1" t="n">
        <v>44887</v>
      </c>
      <c r="C64" s="1" t="n">
        <v>45986</v>
      </c>
      <c r="D64" t="inlineStr">
        <is>
          <t>SKÅNE LÄN</t>
        </is>
      </c>
      <c r="E64" t="inlineStr">
        <is>
          <t>ÄNGELHOLM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46487-2024</t>
        </is>
      </c>
      <c r="B65" s="1" t="n">
        <v>45582</v>
      </c>
      <c r="C65" s="1" t="n">
        <v>45986</v>
      </c>
      <c r="D65" t="inlineStr">
        <is>
          <t>SKÅNE LÄN</t>
        </is>
      </c>
      <c r="E65" t="inlineStr">
        <is>
          <t>ÄNGELHOLM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45986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64728-2023</t>
        </is>
      </c>
      <c r="B67" s="1" t="n">
        <v>45281</v>
      </c>
      <c r="C67" s="1" t="n">
        <v>45986</v>
      </c>
      <c r="D67" t="inlineStr">
        <is>
          <t>SKÅNE LÄN</t>
        </is>
      </c>
      <c r="E67" t="inlineStr">
        <is>
          <t>ÄNGELHOLM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45986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45986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46712-2025</t>
        </is>
      </c>
      <c r="B70" s="1" t="n">
        <v>45926.57591435185</v>
      </c>
      <c r="C70" s="1" t="n">
        <v>45986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52519-2025</t>
        </is>
      </c>
      <c r="B71" s="1" t="n">
        <v>45954.51563657408</v>
      </c>
      <c r="C71" s="1" t="n">
        <v>45986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47116-2025</t>
        </is>
      </c>
      <c r="B72" s="1" t="n">
        <v>45929.67606481481</v>
      </c>
      <c r="C72" s="1" t="n">
        <v>45986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45986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55728-2025</t>
        </is>
      </c>
      <c r="B74" s="1" t="n">
        <v>45972</v>
      </c>
      <c r="C74" s="1" t="n">
        <v>45986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55707-2025</t>
        </is>
      </c>
      <c r="B75" s="1" t="n">
        <v>45972</v>
      </c>
      <c r="C75" s="1" t="n">
        <v>45986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47176-2025</t>
        </is>
      </c>
      <c r="B76" s="1" t="n">
        <v>45930</v>
      </c>
      <c r="C76" s="1" t="n">
        <v>45986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44448-2023</t>
        </is>
      </c>
      <c r="B77" s="1" t="n">
        <v>45189</v>
      </c>
      <c r="C77" s="1" t="n">
        <v>45986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45986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45986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32020-2025</t>
        </is>
      </c>
      <c r="B80" s="1" t="n">
        <v>45835.4065625</v>
      </c>
      <c r="C80" s="1" t="n">
        <v>45986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45986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45986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45986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45986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68428-2020</t>
        </is>
      </c>
      <c r="B85" s="1" t="n">
        <v>44183</v>
      </c>
      <c r="C85" s="1" t="n">
        <v>45986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49610-2024</t>
        </is>
      </c>
      <c r="B86" s="1" t="n">
        <v>45596</v>
      </c>
      <c r="C86" s="1" t="n">
        <v>45986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13235-2025</t>
        </is>
      </c>
      <c r="B87" s="1" t="n">
        <v>45735</v>
      </c>
      <c r="C87" s="1" t="n">
        <v>45986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13243-2025</t>
        </is>
      </c>
      <c r="B88" s="1" t="n">
        <v>45735</v>
      </c>
      <c r="C88" s="1" t="n">
        <v>45986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49885-2022</t>
        </is>
      </c>
      <c r="B89" s="1" t="n">
        <v>44864</v>
      </c>
      <c r="C89" s="1" t="n">
        <v>45986</v>
      </c>
      <c r="D89" t="inlineStr">
        <is>
          <t>SKÅNE LÄN</t>
        </is>
      </c>
      <c r="E89" t="inlineStr">
        <is>
          <t>ÄNGELHOLM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45986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13662-2025</t>
        </is>
      </c>
      <c r="B91" s="1" t="n">
        <v>45736.77020833334</v>
      </c>
      <c r="C91" s="1" t="n">
        <v>45986</v>
      </c>
      <c r="D91" t="inlineStr">
        <is>
          <t>SKÅNE LÄN</t>
        </is>
      </c>
      <c r="E91" t="inlineStr">
        <is>
          <t>ÄNGELHOLM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57725-2025</t>
        </is>
      </c>
      <c r="B92" s="1" t="n">
        <v>45981</v>
      </c>
      <c r="C92" s="1" t="n">
        <v>45986</v>
      </c>
      <c r="D92" t="inlineStr">
        <is>
          <t>SKÅNE LÄN</t>
        </is>
      </c>
      <c r="E92" t="inlineStr">
        <is>
          <t>ÄNGELHOLM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7811-2023</t>
        </is>
      </c>
      <c r="B93" s="1" t="n">
        <v>44973</v>
      </c>
      <c r="C93" s="1" t="n">
        <v>45986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45986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42105-2022</t>
        </is>
      </c>
      <c r="B95" s="1" t="n">
        <v>44830.55204861111</v>
      </c>
      <c r="C95" s="1" t="n">
        <v>45986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50652-2023</t>
        </is>
      </c>
      <c r="B96" s="1" t="n">
        <v>45210</v>
      </c>
      <c r="C96" s="1" t="n">
        <v>45986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45986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25129-2024</t>
        </is>
      </c>
      <c r="B98" s="1" t="n">
        <v>45462.46355324074</v>
      </c>
      <c r="C98" s="1" t="n">
        <v>45986</v>
      </c>
      <c r="D98" t="inlineStr">
        <is>
          <t>SKÅNE LÄN</t>
        </is>
      </c>
      <c r="E98" t="inlineStr">
        <is>
          <t>ÄNGELHOLM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4755-2024</t>
        </is>
      </c>
      <c r="B99" s="1" t="n">
        <v>45328.66599537037</v>
      </c>
      <c r="C99" s="1" t="n">
        <v>45986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14400-2023</t>
        </is>
      </c>
      <c r="B100" s="1" t="n">
        <v>45012</v>
      </c>
      <c r="C100" s="1" t="n">
        <v>45986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45986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45986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38028-2025</t>
        </is>
      </c>
      <c r="B103" s="1" t="n">
        <v>45882.3615625</v>
      </c>
      <c r="C103" s="1" t="n">
        <v>45986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9578-2025</t>
        </is>
      </c>
      <c r="B104" s="1" t="n">
        <v>45715.62634259259</v>
      </c>
      <c r="C104" s="1" t="n">
        <v>45986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38856-2025</t>
        </is>
      </c>
      <c r="B105" s="1" t="n">
        <v>45887</v>
      </c>
      <c r="C105" s="1" t="n">
        <v>45986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45986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45986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45986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45986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45986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45986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45986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45986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45986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45986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45986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45986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31503-2023</t>
        </is>
      </c>
      <c r="B118" s="1" t="n">
        <v>45115</v>
      </c>
      <c r="C118" s="1" t="n">
        <v>45986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45986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31908-2023</t>
        </is>
      </c>
      <c r="B120" s="1" t="n">
        <v>45118</v>
      </c>
      <c r="C120" s="1" t="n">
        <v>45986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31502-2023</t>
        </is>
      </c>
      <c r="B121" s="1" t="n">
        <v>45115</v>
      </c>
      <c r="C121" s="1" t="n">
        <v>45986</v>
      </c>
      <c r="D121" t="inlineStr">
        <is>
          <t>SKÅNE LÄN</t>
        </is>
      </c>
      <c r="E121" t="inlineStr">
        <is>
          <t>ÄNGELHOLM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28253-2023</t>
        </is>
      </c>
      <c r="B122" s="1" t="n">
        <v>45099</v>
      </c>
      <c r="C122" s="1" t="n">
        <v>45986</v>
      </c>
      <c r="D122" t="inlineStr">
        <is>
          <t>SKÅNE LÄN</t>
        </is>
      </c>
      <c r="E122" t="inlineStr">
        <is>
          <t>ÄNGELHOLM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21488-2023</t>
        </is>
      </c>
      <c r="B123" s="1" t="n">
        <v>45061</v>
      </c>
      <c r="C123" s="1" t="n">
        <v>45986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45986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45986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45986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53501-2022</t>
        </is>
      </c>
      <c r="B127" s="1" t="n">
        <v>44879</v>
      </c>
      <c r="C127" s="1" t="n">
        <v>45986</v>
      </c>
      <c r="D127" t="inlineStr">
        <is>
          <t>SKÅNE LÄN</t>
        </is>
      </c>
      <c r="E127" t="inlineStr">
        <is>
          <t>ÄNGELHOLM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54709-2023</t>
        </is>
      </c>
      <c r="B128" s="1" t="n">
        <v>45236.34621527778</v>
      </c>
      <c r="C128" s="1" t="n">
        <v>45986</v>
      </c>
      <c r="D128" t="inlineStr">
        <is>
          <t>SKÅNE LÄN</t>
        </is>
      </c>
      <c r="E128" t="inlineStr">
        <is>
          <t>ÄNGELHOLM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12148-2024</t>
        </is>
      </c>
      <c r="B129" s="1" t="n">
        <v>45377</v>
      </c>
      <c r="C129" s="1" t="n">
        <v>45986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45986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4605-2025</t>
        </is>
      </c>
      <c r="B131" s="1" t="n">
        <v>45687.56328703704</v>
      </c>
      <c r="C131" s="1" t="n">
        <v>45986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45117.89738425926</v>
      </c>
      <c r="C132" s="1" t="n">
        <v>45986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45986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45986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45986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46613-2024</t>
        </is>
      </c>
      <c r="B136" s="1" t="n">
        <v>45583</v>
      </c>
      <c r="C136" s="1" t="n">
        <v>45986</v>
      </c>
      <c r="D136" t="inlineStr">
        <is>
          <t>SKÅNE LÄN</t>
        </is>
      </c>
      <c r="E136" t="inlineStr">
        <is>
          <t>ÄNGELHOLM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23976-2024</t>
        </is>
      </c>
      <c r="B137" s="1" t="n">
        <v>45456.30621527778</v>
      </c>
      <c r="C137" s="1" t="n">
        <v>45986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40278-2023</t>
        </is>
      </c>
      <c r="B138" s="1" t="n">
        <v>45169</v>
      </c>
      <c r="C138" s="1" t="n">
        <v>45986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7871-2025</t>
        </is>
      </c>
      <c r="B139" s="1" t="n">
        <v>45706</v>
      </c>
      <c r="C139" s="1" t="n">
        <v>45986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45986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29436-2024</t>
        </is>
      </c>
      <c r="B141" s="1" t="n">
        <v>45483.78387731482</v>
      </c>
      <c r="C141" s="1" t="n">
        <v>45986</v>
      </c>
      <c r="D141" t="inlineStr">
        <is>
          <t>SKÅNE LÄN</t>
        </is>
      </c>
      <c r="E141" t="inlineStr">
        <is>
          <t>ÄNGELHOLM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45986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28264-2022</t>
        </is>
      </c>
      <c r="B143" s="1" t="n">
        <v>44746</v>
      </c>
      <c r="C143" s="1" t="n">
        <v>45986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10833-2021</t>
        </is>
      </c>
      <c r="B144" s="1" t="n">
        <v>44259</v>
      </c>
      <c r="C144" s="1" t="n">
        <v>45986</v>
      </c>
      <c r="D144" t="inlineStr">
        <is>
          <t>SKÅNE LÄN</t>
        </is>
      </c>
      <c r="E144" t="inlineStr">
        <is>
          <t>ÄNGELHOLM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45986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45986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45986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607-2024</t>
        </is>
      </c>
      <c r="B148" s="1" t="n">
        <v>45299</v>
      </c>
      <c r="C148" s="1" t="n">
        <v>45986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45986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45986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57923-2024</t>
        </is>
      </c>
      <c r="B151" s="1" t="n">
        <v>45631</v>
      </c>
      <c r="C151" s="1" t="n">
        <v>45986</v>
      </c>
      <c r="D151" t="inlineStr">
        <is>
          <t>SKÅNE LÄN</t>
        </is>
      </c>
      <c r="E151" t="inlineStr">
        <is>
          <t>ÄNGELHOLM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10377-2021</t>
        </is>
      </c>
      <c r="B152" s="1" t="n">
        <v>44257</v>
      </c>
      <c r="C152" s="1" t="n">
        <v>45986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308-2023</t>
        </is>
      </c>
      <c r="B153" s="1" t="n">
        <v>44929</v>
      </c>
      <c r="C153" s="1" t="n">
        <v>45986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45986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20635-2024</t>
        </is>
      </c>
      <c r="B155" s="1" t="n">
        <v>45436</v>
      </c>
      <c r="C155" s="1" t="n">
        <v>45986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