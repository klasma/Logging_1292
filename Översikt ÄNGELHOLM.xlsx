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46237</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46237</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46237</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46237</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3317-2026</t>
        </is>
      </c>
      <c r="B17" t="inlineStr">
        <is>
          <t>avverkningsanmälan</t>
        </is>
      </c>
      <c r="C17" t="inlineStr">
        <is>
          <t>Föryngringsavverkning</t>
        </is>
      </c>
      <c r="D17" s="1" t="n">
        <v>46041</v>
      </c>
      <c r="E17" s="1" t="n">
        <v>46237</v>
      </c>
      <c r="F17" t="inlineStr">
        <is>
          <t>SKÅNE LÄN</t>
        </is>
      </c>
      <c r="G17" t="inlineStr">
        <is>
          <t>ÄNGELHOLM</t>
        </is>
      </c>
      <c r="I17" t="n">
        <v>2.9</v>
      </c>
      <c r="J17" t="n">
        <v>3</v>
      </c>
      <c r="K17" t="n">
        <v>0</v>
      </c>
      <c r="L17" t="n">
        <v>2</v>
      </c>
      <c r="M17" t="n">
        <v>0</v>
      </c>
      <c r="N17" t="n">
        <v>0</v>
      </c>
      <c r="O17" t="n">
        <v>0</v>
      </c>
      <c r="P17" t="n">
        <v>0</v>
      </c>
      <c r="Q17" t="n">
        <v>2</v>
      </c>
      <c r="R17" t="n">
        <v>0</v>
      </c>
      <c r="S17" t="n">
        <v>3</v>
      </c>
      <c r="T17" t="n">
        <v>6</v>
      </c>
      <c r="U17" t="n">
        <v>6</v>
      </c>
      <c r="V17" s="2" t="inlineStr">
        <is>
          <t>Entita
Mindre hackspett
Gröngöling</t>
        </is>
      </c>
      <c r="W17">
        <f>HYPERLINK("https://klasma.github.io/Logging_1292/artfynd/A 3317-2026 artfynd.xlsx", "A 3317-2026")</f>
        <v/>
      </c>
      <c r="X17">
        <f>HYPERLINK("https://klasma.github.io/Logging_1292/kartor/A 3317-2026 karta.png", "A 3317-2026")</f>
        <v/>
      </c>
      <c r="Y17">
        <f>HYPERLINK("https://klasma.github.io/Logging_1292/kartor_geotiff/A 3317-2026 georefererad karta.tif", "A 3317-2026")</f>
        <v/>
      </c>
      <c r="AA17">
        <f>HYPERLINK("https://klasma.github.io/Logging_1292/klagomål/A 3317-2026 FSC-klagomål.docx", "A 3317-2026")</f>
        <v/>
      </c>
      <c r="AB17">
        <f>HYPERLINK("https://klasma.github.io/Logging_1292/klagomålsmail/A 3317-2026 FSC-klagomål mail.docx", "A 3317-2026")</f>
        <v/>
      </c>
      <c r="AC17">
        <f>HYPERLINK("https://klasma.github.io/Logging_1292/tillsyn/A 3317-2026 tillsynsbegäran.docx", "A 3317-2026")</f>
        <v/>
      </c>
      <c r="AD17">
        <f>HYPERLINK("https://klasma.github.io/Logging_1292/tillsynsmail/A 3317-2026 tillsynsbegäran mail.docx", "A 3317-2026")</f>
        <v/>
      </c>
      <c r="AE17">
        <f>HYPERLINK("https://klasma.github.io/Logging_1292/fåglar/A 3317-2026 prioriterade fågelarter.docx", "A 3317-2026")</f>
        <v/>
      </c>
    </row>
    <row r="18" ht="15" customHeight="1">
      <c r="A18" t="inlineStr">
        <is>
          <t>A 28874-2023</t>
        </is>
      </c>
      <c r="B18" t="inlineStr">
        <is>
          <t>avverkningsanmälan</t>
        </is>
      </c>
      <c r="C18" t="inlineStr">
        <is>
          <t>Föryngringsavverkning</t>
        </is>
      </c>
      <c r="D18" s="1" t="n">
        <v>45104</v>
      </c>
      <c r="E18" s="1" t="n">
        <v>46237</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46237</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31907-2023</t>
        </is>
      </c>
      <c r="B20" t="inlineStr">
        <is>
          <t>avverkningsanmälan</t>
        </is>
      </c>
      <c r="C20" t="inlineStr">
        <is>
          <t>Föryngringsavverkning</t>
        </is>
      </c>
      <c r="D20" s="1" t="n">
        <v>45118</v>
      </c>
      <c r="E20" s="1" t="n">
        <v>46237</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46237</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18559-2025</t>
        </is>
      </c>
      <c r="B22" t="inlineStr">
        <is>
          <t>avverkningsanmälan</t>
        </is>
      </c>
      <c r="C22" t="inlineStr">
        <is>
          <t>Föryngringsavverkning</t>
        </is>
      </c>
      <c r="D22" s="1" t="n">
        <v>45763</v>
      </c>
      <c r="E22" s="1" t="n">
        <v>46237</v>
      </c>
      <c r="F22" t="inlineStr">
        <is>
          <t>SKÅNE LÄN</t>
        </is>
      </c>
      <c r="G22" t="inlineStr">
        <is>
          <t>ÄNGELHOLM</t>
        </is>
      </c>
      <c r="I22" t="n">
        <v>3</v>
      </c>
      <c r="J22" t="n">
        <v>3</v>
      </c>
      <c r="K22" t="n">
        <v>0</v>
      </c>
      <c r="L22" t="n">
        <v>2</v>
      </c>
      <c r="M22" t="n">
        <v>0</v>
      </c>
      <c r="N22" t="n">
        <v>0</v>
      </c>
      <c r="O22" t="n">
        <v>0</v>
      </c>
      <c r="P22" t="n">
        <v>0</v>
      </c>
      <c r="Q22" t="n">
        <v>2</v>
      </c>
      <c r="R22" t="n">
        <v>0</v>
      </c>
      <c r="S22" t="n">
        <v>3</v>
      </c>
      <c r="T22" t="n">
        <v>3</v>
      </c>
      <c r="U22" t="n">
        <v>3</v>
      </c>
      <c r="V22" s="2" t="inlineStr">
        <is>
          <t>Grönsångare
Gulsparv
Gröngöling</t>
        </is>
      </c>
      <c r="W22">
        <f>HYPERLINK("https://klasma.github.io/Logging_1292/artfynd/A 18559-2025 artfynd.xlsx", "A 18559-2025")</f>
        <v/>
      </c>
      <c r="X22">
        <f>HYPERLINK("https://klasma.github.io/Logging_1292/kartor/A 18559-2025 karta.png", "A 18559-2025")</f>
        <v/>
      </c>
      <c r="Y22">
        <f>HYPERLINK("https://klasma.github.io/Logging_1292/kartor_geotiff/A 18559-2025 georefererad karta.tif", "A 18559-2025")</f>
        <v/>
      </c>
      <c r="AA22">
        <f>HYPERLINK("https://klasma.github.io/Logging_1292/klagomål/A 18559-2025 FSC-klagomål.docx", "A 18559-2025")</f>
        <v/>
      </c>
      <c r="AB22">
        <f>HYPERLINK("https://klasma.github.io/Logging_1292/klagomålsmail/A 18559-2025 FSC-klagomål mail.docx", "A 18559-2025")</f>
        <v/>
      </c>
      <c r="AC22">
        <f>HYPERLINK("https://klasma.github.io/Logging_1292/tillsyn/A 18559-2025 tillsynsbegäran.docx", "A 18559-2025")</f>
        <v/>
      </c>
      <c r="AD22">
        <f>HYPERLINK("https://klasma.github.io/Logging_1292/tillsynsmail/A 18559-2025 tillsynsbegäran mail.docx", "A 18559-2025")</f>
        <v/>
      </c>
      <c r="AE22">
        <f>HYPERLINK("https://klasma.github.io/Logging_1292/fåglar/A 18559-2025 prioriterade fågelarter.docx", "A 18559-2025")</f>
        <v/>
      </c>
    </row>
    <row r="23" ht="15" customHeight="1">
      <c r="A23" t="inlineStr">
        <is>
          <t>A 905-2024</t>
        </is>
      </c>
      <c r="B23" t="inlineStr">
        <is>
          <t>avverkningsanmälan</t>
        </is>
      </c>
      <c r="C23" t="inlineStr">
        <is>
          <t>Föryngringsavverkning</t>
        </is>
      </c>
      <c r="D23" s="1" t="n">
        <v>45301</v>
      </c>
      <c r="E23" s="1" t="n">
        <v>46237</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27544-2024</t>
        </is>
      </c>
      <c r="B24" t="inlineStr">
        <is>
          <t>avverkningsanmälan</t>
        </is>
      </c>
      <c r="C24" t="inlineStr">
        <is>
          <t>Föryngringsavverkning</t>
        </is>
      </c>
      <c r="D24" s="1" t="n">
        <v>45474</v>
      </c>
      <c r="E24" s="1" t="n">
        <v>46237</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46237</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46237</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46237</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46237</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46237</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46237</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46237</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46237</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46237</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46237</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46237</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31599-2026</t>
        </is>
      </c>
      <c r="B38" t="inlineStr">
        <is>
          <t>avverkningsanmälan</t>
        </is>
      </c>
      <c r="C38" t="inlineStr">
        <is>
          <t>Föryngringsavverkning</t>
        </is>
      </c>
      <c r="D38" s="1" t="n">
        <v>46224</v>
      </c>
      <c r="E38" s="1" t="n">
        <v>46237</v>
      </c>
      <c r="F38" t="inlineStr">
        <is>
          <t>SKÅNE LÄN</t>
        </is>
      </c>
      <c r="G38" t="inlineStr">
        <is>
          <t>ÄNGELHOLM</t>
        </is>
      </c>
      <c r="I38" t="n">
        <v>1.7</v>
      </c>
      <c r="J38" t="n">
        <v>1</v>
      </c>
      <c r="K38" t="n">
        <v>1</v>
      </c>
      <c r="L38" t="n">
        <v>0</v>
      </c>
      <c r="M38" t="n">
        <v>0</v>
      </c>
      <c r="N38" t="n">
        <v>0</v>
      </c>
      <c r="O38" t="n">
        <v>0</v>
      </c>
      <c r="P38" t="n">
        <v>0</v>
      </c>
      <c r="Q38" t="n">
        <v>0</v>
      </c>
      <c r="R38" t="n">
        <v>0</v>
      </c>
      <c r="S38" t="n">
        <v>1</v>
      </c>
      <c r="T38" t="n">
        <v>1</v>
      </c>
      <c r="U38" t="n">
        <v>0</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27094-2026</t>
        </is>
      </c>
      <c r="B39" t="inlineStr">
        <is>
          <t>avverkningsanmälan</t>
        </is>
      </c>
      <c r="C39" t="inlineStr">
        <is>
          <t>Föryngringsavverkning</t>
        </is>
      </c>
      <c r="D39" s="1" t="n">
        <v>46188</v>
      </c>
      <c r="E39" s="1" t="n">
        <v>46237</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46237</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46487-2024</t>
        </is>
      </c>
      <c r="B41" t="inlineStr">
        <is>
          <t>avverkningsanmälan</t>
        </is>
      </c>
      <c r="C41" t="inlineStr">
        <is>
          <t>Föryngringsavverkning</t>
        </is>
      </c>
      <c r="D41" s="1" t="n">
        <v>45582</v>
      </c>
      <c r="E41" s="1" t="n">
        <v>46237</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46237</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46237</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46237</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46237</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46237</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46237</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46237</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46237</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46237</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46237</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46237</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31720-2023</t>
        </is>
      </c>
      <c r="B55" t="inlineStr">
        <is>
          <t>avverkningsanmälan</t>
        </is>
      </c>
      <c r="C55" t="inlineStr">
        <is>
          <t>Föryngringsavverkning</t>
        </is>
      </c>
      <c r="D55" s="1" t="n">
        <v>45117</v>
      </c>
      <c r="E55" s="1" t="n">
        <v>46237</v>
      </c>
      <c r="F55" t="inlineStr">
        <is>
          <t>SKÅNE LÄN</t>
        </is>
      </c>
      <c r="G55" t="inlineStr">
        <is>
          <t>ÄNGELHOLM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25669-2024</t>
        </is>
      </c>
      <c r="B56" t="inlineStr">
        <is>
          <t>avverkningsanmälan</t>
        </is>
      </c>
      <c r="C56" t="inlineStr">
        <is>
          <t>Föryngringsavverkning</t>
        </is>
      </c>
      <c r="D56" s="1" t="n">
        <v>45463</v>
      </c>
      <c r="E56" s="1" t="n">
        <v>46237</v>
      </c>
      <c r="F56" t="inlineStr">
        <is>
          <t>SKÅNE LÄN</t>
        </is>
      </c>
      <c r="G56" t="inlineStr">
        <is>
          <t>ÄNGELHOLM</t>
        </is>
      </c>
      <c r="I56" t="n">
        <v>17.9</v>
      </c>
      <c r="J56" t="n">
        <v>0</v>
      </c>
      <c r="K56" t="n">
        <v>0</v>
      </c>
      <c r="L56" t="n">
        <v>0</v>
      </c>
      <c r="M56" t="n">
        <v>0</v>
      </c>
      <c r="N56" t="n">
        <v>0</v>
      </c>
      <c r="O56" t="n">
        <v>0</v>
      </c>
      <c r="P56" t="n">
        <v>0</v>
      </c>
      <c r="Q56" t="n">
        <v>0</v>
      </c>
      <c r="R56" t="n">
        <v>0</v>
      </c>
      <c r="S56" t="n">
        <v>0</v>
      </c>
      <c r="T56" t="n">
        <v>0</v>
      </c>
      <c r="U56" t="n">
        <v>0</v>
      </c>
      <c r="V56" s="2" t="inlineStr"/>
    </row>
    <row r="57" ht="15" customHeight="1">
      <c r="A57" t="inlineStr">
        <is>
          <t>A 31143-2024</t>
        </is>
      </c>
      <c r="B57" t="inlineStr">
        <is>
          <t>avverkningsanmälan</t>
        </is>
      </c>
      <c r="C57" t="inlineStr">
        <is>
          <t>Avverkning för annat ändamål</t>
        </is>
      </c>
      <c r="D57" s="1" t="n">
        <v>45502</v>
      </c>
      <c r="E57" s="1" t="n">
        <v>46237</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46237</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607-2024</t>
        </is>
      </c>
      <c r="B59" t="inlineStr">
        <is>
          <t>avverkningsanmälan</t>
        </is>
      </c>
      <c r="C59" t="inlineStr">
        <is>
          <t>Föryngringsavverkning</t>
        </is>
      </c>
      <c r="D59" s="1" t="n">
        <v>45299</v>
      </c>
      <c r="E59" s="1" t="n">
        <v>46237</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56569-2021</t>
        </is>
      </c>
      <c r="B60" t="inlineStr">
        <is>
          <t>avverkningsanmälan</t>
        </is>
      </c>
      <c r="C60" t="inlineStr">
        <is>
          <t>Föryngringsavverkning</t>
        </is>
      </c>
      <c r="D60" s="1" t="n">
        <v>44480</v>
      </c>
      <c r="E60" s="1" t="n">
        <v>46237</v>
      </c>
      <c r="F60" t="inlineStr">
        <is>
          <t>SKÅNE LÄN</t>
        </is>
      </c>
      <c r="G60" t="inlineStr">
        <is>
          <t>ÄNGELHOLM</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54709-2023</t>
        </is>
      </c>
      <c r="B61" t="inlineStr">
        <is>
          <t>avverkningsanmälan</t>
        </is>
      </c>
      <c r="C61" t="inlineStr">
        <is>
          <t>Föryngringsavverkning</t>
        </is>
      </c>
      <c r="D61" s="1" t="n">
        <v>45236</v>
      </c>
      <c r="E61" s="1" t="n">
        <v>46237</v>
      </c>
      <c r="F61" t="inlineStr">
        <is>
          <t>SKÅNE LÄN</t>
        </is>
      </c>
      <c r="G61" t="inlineStr">
        <is>
          <t>ÄNGELHOLM</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29436-2024</t>
        </is>
      </c>
      <c r="B62" t="inlineStr">
        <is>
          <t>avverkningsanmälan</t>
        </is>
      </c>
      <c r="C62" t="inlineStr">
        <is>
          <t>Föryngringsavverkning</t>
        </is>
      </c>
      <c r="D62" s="1" t="n">
        <v>45483</v>
      </c>
      <c r="E62" s="1" t="n">
        <v>46237</v>
      </c>
      <c r="F62" t="inlineStr">
        <is>
          <t>SKÅNE LÄN</t>
        </is>
      </c>
      <c r="G62" t="inlineStr">
        <is>
          <t>ÄNGELHOLM</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12148-2024</t>
        </is>
      </c>
      <c r="B63" t="inlineStr">
        <is>
          <t>avverkningsanmälan</t>
        </is>
      </c>
      <c r="C63" t="inlineStr">
        <is>
          <t>Föryngringsavverkning</t>
        </is>
      </c>
      <c r="D63" s="1" t="n">
        <v>45377</v>
      </c>
      <c r="E63" s="1" t="n">
        <v>46237</v>
      </c>
      <c r="F63" t="inlineStr">
        <is>
          <t>SKÅNE LÄN</t>
        </is>
      </c>
      <c r="G63" t="inlineStr">
        <is>
          <t>ÄNGELHOLM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8882-2025</t>
        </is>
      </c>
      <c r="B64" t="inlineStr">
        <is>
          <t>avverkningsanmälan</t>
        </is>
      </c>
      <c r="C64" t="inlineStr">
        <is>
          <t>Föryngringsavverkning</t>
        </is>
      </c>
      <c r="D64" s="1" t="n">
        <v>45713</v>
      </c>
      <c r="E64" s="1" t="n">
        <v>46237</v>
      </c>
      <c r="F64" t="inlineStr">
        <is>
          <t>SKÅNE LÄN</t>
        </is>
      </c>
      <c r="G64" t="inlineStr">
        <is>
          <t>ÄNGELHOLM</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46237</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55544-2022</t>
        </is>
      </c>
      <c r="B66" t="inlineStr">
        <is>
          <t>avverkningsanmälan</t>
        </is>
      </c>
      <c r="C66" t="inlineStr">
        <is>
          <t>Föryngringsavverkning</t>
        </is>
      </c>
      <c r="D66" s="1" t="n">
        <v>44887</v>
      </c>
      <c r="E66" s="1" t="n">
        <v>46237</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53501-2022</t>
        </is>
      </c>
      <c r="B67" t="inlineStr">
        <is>
          <t>avverkningsanmälan</t>
        </is>
      </c>
      <c r="C67" t="inlineStr">
        <is>
          <t>Föryngringsavverkning</t>
        </is>
      </c>
      <c r="D67" s="1" t="n">
        <v>44879</v>
      </c>
      <c r="E67" s="1" t="n">
        <v>46237</v>
      </c>
      <c r="F67" t="inlineStr">
        <is>
          <t>SKÅNE LÄN</t>
        </is>
      </c>
      <c r="G67" t="inlineStr">
        <is>
          <t>ÄNGELHOLM</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42105-2022</t>
        </is>
      </c>
      <c r="B68" t="inlineStr">
        <is>
          <t>avverkningsanmälan</t>
        </is>
      </c>
      <c r="C68" t="inlineStr">
        <is>
          <t>Föryngringsavverkning</t>
        </is>
      </c>
      <c r="D68" s="1" t="n">
        <v>44830</v>
      </c>
      <c r="E68" s="1" t="n">
        <v>46237</v>
      </c>
      <c r="F68" t="inlineStr">
        <is>
          <t>SKÅNE LÄN</t>
        </is>
      </c>
      <c r="G68" t="inlineStr">
        <is>
          <t>ÄNGELHOLM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27551-2023</t>
        </is>
      </c>
      <c r="B69" t="inlineStr">
        <is>
          <t>avverkningsanmälan</t>
        </is>
      </c>
      <c r="C69" t="inlineStr">
        <is>
          <t>Föryngringsavverkning</t>
        </is>
      </c>
      <c r="D69" s="1" t="n">
        <v>45097</v>
      </c>
      <c r="E69" s="1" t="n">
        <v>46237</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46237</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27553-2023</t>
        </is>
      </c>
      <c r="B71" t="inlineStr">
        <is>
          <t>avverkningsanmälan</t>
        </is>
      </c>
      <c r="C71" t="inlineStr">
        <is>
          <t>Föryngringsavverkning</t>
        </is>
      </c>
      <c r="D71" s="1" t="n">
        <v>45097</v>
      </c>
      <c r="E71" s="1" t="n">
        <v>46237</v>
      </c>
      <c r="F71" t="inlineStr">
        <is>
          <t>SKÅNE LÄN</t>
        </is>
      </c>
      <c r="G71" t="inlineStr">
        <is>
          <t>ÄNGELHOLM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46237</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46237</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64728-2023</t>
        </is>
      </c>
      <c r="B74" t="inlineStr">
        <is>
          <t>avverkningsanmälan</t>
        </is>
      </c>
      <c r="C74" t="inlineStr">
        <is>
          <t>Föryngringsavverkning</t>
        </is>
      </c>
      <c r="D74" s="1" t="n">
        <v>45281</v>
      </c>
      <c r="E74" s="1" t="n">
        <v>46237</v>
      </c>
      <c r="F74" t="inlineStr">
        <is>
          <t>SKÅNE LÄN</t>
        </is>
      </c>
      <c r="G74" t="inlineStr">
        <is>
          <t>ÄNGELHOLM</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46237</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40287-2025</t>
        </is>
      </c>
      <c r="B76" t="inlineStr">
        <is>
          <t>avverkningsanmälan</t>
        </is>
      </c>
      <c r="C76" t="inlineStr">
        <is>
          <t>Föryngringsavverkning</t>
        </is>
      </c>
      <c r="D76" s="1" t="n">
        <v>45895</v>
      </c>
      <c r="E76" s="1" t="n">
        <v>46237</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19503-2022</t>
        </is>
      </c>
      <c r="B77" t="inlineStr">
        <is>
          <t>avverkningsanmälan</t>
        </is>
      </c>
      <c r="C77" t="inlineStr">
        <is>
          <t>Föryngringsavverkning</t>
        </is>
      </c>
      <c r="D77" s="1" t="n">
        <v>44693</v>
      </c>
      <c r="E77" s="1" t="n">
        <v>46237</v>
      </c>
      <c r="F77" t="inlineStr">
        <is>
          <t>SKÅNE LÄN</t>
        </is>
      </c>
      <c r="G77" t="inlineStr">
        <is>
          <t>ÄNGELHOLM</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42826-2025</t>
        </is>
      </c>
      <c r="B78" t="inlineStr">
        <is>
          <t>avverkningsanmälan</t>
        </is>
      </c>
      <c r="C78" t="inlineStr">
        <is>
          <t>Föryngringsavverkning</t>
        </is>
      </c>
      <c r="D78" s="1" t="n">
        <v>45908</v>
      </c>
      <c r="E78" s="1" t="n">
        <v>46237</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74214-2021</t>
        </is>
      </c>
      <c r="B79" t="inlineStr">
        <is>
          <t>avverkningsanmälan</t>
        </is>
      </c>
      <c r="C79" t="inlineStr">
        <is>
          <t>Föryngringsavverkning</t>
        </is>
      </c>
      <c r="D79" s="1" t="n">
        <v>44553</v>
      </c>
      <c r="E79" s="1" t="n">
        <v>46237</v>
      </c>
      <c r="F79" t="inlineStr">
        <is>
          <t>SKÅNE LÄN</t>
        </is>
      </c>
      <c r="G79" t="inlineStr">
        <is>
          <t>ÄNGELHOLM</t>
        </is>
      </c>
      <c r="I79" t="n">
        <v>19.8</v>
      </c>
      <c r="J79" t="n">
        <v>0</v>
      </c>
      <c r="K79" t="n">
        <v>0</v>
      </c>
      <c r="L79" t="n">
        <v>0</v>
      </c>
      <c r="M79" t="n">
        <v>0</v>
      </c>
      <c r="N79" t="n">
        <v>0</v>
      </c>
      <c r="O79" t="n">
        <v>0</v>
      </c>
      <c r="P79" t="n">
        <v>0</v>
      </c>
      <c r="Q79" t="n">
        <v>0</v>
      </c>
      <c r="R79" t="n">
        <v>0</v>
      </c>
      <c r="S79" t="n">
        <v>0</v>
      </c>
      <c r="T79" t="n">
        <v>0</v>
      </c>
      <c r="U79" t="n">
        <v>0</v>
      </c>
      <c r="V79" s="2" t="inlineStr"/>
    </row>
    <row r="80" ht="15" customHeight="1">
      <c r="A80" t="inlineStr">
        <is>
          <t>A 46702-2024</t>
        </is>
      </c>
      <c r="B80" t="inlineStr">
        <is>
          <t>avverkningsanmälan</t>
        </is>
      </c>
      <c r="C80" t="inlineStr">
        <is>
          <t>Föryngringsavverkning</t>
        </is>
      </c>
      <c r="D80" s="1" t="n">
        <v>45583</v>
      </c>
      <c r="E80" s="1" t="n">
        <v>46237</v>
      </c>
      <c r="F80" t="inlineStr">
        <is>
          <t>SKÅNE LÄN</t>
        </is>
      </c>
      <c r="G80" t="inlineStr">
        <is>
          <t>ÄNGELHOLM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49206-2024</t>
        </is>
      </c>
      <c r="B81" t="inlineStr">
        <is>
          <t>avverkningsanmälan</t>
        </is>
      </c>
      <c r="C81" t="inlineStr">
        <is>
          <t>Föryngringsavverkning</t>
        </is>
      </c>
      <c r="D81" s="1" t="n">
        <v>45595</v>
      </c>
      <c r="E81" s="1" t="n">
        <v>46237</v>
      </c>
      <c r="F81" t="inlineStr">
        <is>
          <t>SKÅNE LÄN</t>
        </is>
      </c>
      <c r="G81" t="inlineStr">
        <is>
          <t>ÄNGELHOLM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46237</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7337-2024</t>
        </is>
      </c>
      <c r="B83" t="inlineStr">
        <is>
          <t>avverkningsanmälan</t>
        </is>
      </c>
      <c r="C83" t="inlineStr">
        <is>
          <t>Föryngringsavverkning</t>
        </is>
      </c>
      <c r="D83" s="1" t="n">
        <v>45345</v>
      </c>
      <c r="E83" s="1" t="n">
        <v>46237</v>
      </c>
      <c r="F83" t="inlineStr">
        <is>
          <t>SKÅNE LÄN</t>
        </is>
      </c>
      <c r="G83" t="inlineStr">
        <is>
          <t>ÄNGELHOLM</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49610-2024</t>
        </is>
      </c>
      <c r="B84" t="inlineStr">
        <is>
          <t>avverkningsanmälan</t>
        </is>
      </c>
      <c r="C84" t="inlineStr">
        <is>
          <t>Föryngringsavverkning</t>
        </is>
      </c>
      <c r="D84" s="1" t="n">
        <v>45596</v>
      </c>
      <c r="E84" s="1" t="n">
        <v>46237</v>
      </c>
      <c r="F84" t="inlineStr">
        <is>
          <t>SKÅNE LÄN</t>
        </is>
      </c>
      <c r="G84" t="inlineStr">
        <is>
          <t>ÄNGELHOLM</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23328-2022</t>
        </is>
      </c>
      <c r="B85" t="inlineStr">
        <is>
          <t>avverkningsanmälan</t>
        </is>
      </c>
      <c r="C85" t="inlineStr">
        <is>
          <t>Föryngringsavverkning</t>
        </is>
      </c>
      <c r="D85" s="1" t="n">
        <v>44720</v>
      </c>
      <c r="E85" s="1" t="n">
        <v>46237</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52519-2025</t>
        </is>
      </c>
      <c r="B86" t="inlineStr">
        <is>
          <t>avverkningsanmälan</t>
        </is>
      </c>
      <c r="C86" t="inlineStr">
        <is>
          <t>Föryngringsavverkning</t>
        </is>
      </c>
      <c r="D86" s="1" t="n">
        <v>45954</v>
      </c>
      <c r="E86" s="1" t="n">
        <v>46237</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32364-2023</t>
        </is>
      </c>
      <c r="B87" t="inlineStr">
        <is>
          <t>avverkningsanmälan</t>
        </is>
      </c>
      <c r="C87" t="inlineStr">
        <is>
          <t>Föryngringsavverkning</t>
        </is>
      </c>
      <c r="D87" s="1" t="n">
        <v>45120</v>
      </c>
      <c r="E87" s="1" t="n">
        <v>46237</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8139-2025</t>
        </is>
      </c>
      <c r="B88" t="inlineStr">
        <is>
          <t>avverkningsanmälan</t>
        </is>
      </c>
      <c r="C88" t="inlineStr">
        <is>
          <t>Föryngringsavverkning</t>
        </is>
      </c>
      <c r="D88" s="1" t="n">
        <v>45708</v>
      </c>
      <c r="E88" s="1" t="n">
        <v>46237</v>
      </c>
      <c r="F88" t="inlineStr">
        <is>
          <t>SKÅNE LÄN</t>
        </is>
      </c>
      <c r="G88" t="inlineStr">
        <is>
          <t>ÄNGELHOLM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40275-2023</t>
        </is>
      </c>
      <c r="B89" t="inlineStr">
        <is>
          <t>avverkningsanmälan</t>
        </is>
      </c>
      <c r="C89" t="inlineStr">
        <is>
          <t>Föryngringsavverkning</t>
        </is>
      </c>
      <c r="D89" s="1" t="n">
        <v>45169</v>
      </c>
      <c r="E89" s="1" t="n">
        <v>46237</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46237</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1644-2025</t>
        </is>
      </c>
      <c r="B91" t="inlineStr">
        <is>
          <t>avverkningsanmälan</t>
        </is>
      </c>
      <c r="C91" t="inlineStr">
        <is>
          <t>Föryngringsavverkning</t>
        </is>
      </c>
      <c r="D91" s="1" t="n">
        <v>45670</v>
      </c>
      <c r="E91" s="1" t="n">
        <v>46237</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46237</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4089-2024</t>
        </is>
      </c>
      <c r="B93" t="inlineStr">
        <is>
          <t>avverkningsanmälan</t>
        </is>
      </c>
      <c r="C93" t="inlineStr">
        <is>
          <t>Föryngringsavverkning</t>
        </is>
      </c>
      <c r="D93" s="1" t="n">
        <v>45323</v>
      </c>
      <c r="E93" s="1" t="n">
        <v>46237</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46237</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29369-2026</t>
        </is>
      </c>
      <c r="B95" t="inlineStr">
        <is>
          <t>avverkningsanmälan</t>
        </is>
      </c>
      <c r="C95" t="inlineStr">
        <is>
          <t>Föryngringsavverkning</t>
        </is>
      </c>
      <c r="D95" s="1" t="n">
        <v>46203</v>
      </c>
      <c r="E95" s="1" t="n">
        <v>46237</v>
      </c>
      <c r="F95" t="inlineStr">
        <is>
          <t>SKÅNE LÄN</t>
        </is>
      </c>
      <c r="G95" t="inlineStr">
        <is>
          <t>ÄNGELHOLM</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46237</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23676-2024</t>
        </is>
      </c>
      <c r="B97" t="inlineStr">
        <is>
          <t>avverkningsanmälan</t>
        </is>
      </c>
      <c r="C97" t="inlineStr">
        <is>
          <t>Föryngringsavverkning</t>
        </is>
      </c>
      <c r="D97" s="1" t="n">
        <v>45454</v>
      </c>
      <c r="E97" s="1" t="n">
        <v>46237</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7871-2025</t>
        </is>
      </c>
      <c r="B98" t="inlineStr">
        <is>
          <t>avverkningsanmälan</t>
        </is>
      </c>
      <c r="C98" t="inlineStr">
        <is>
          <t>Föryngringsavverkning</t>
        </is>
      </c>
      <c r="D98" s="1" t="n">
        <v>45706</v>
      </c>
      <c r="E98" s="1" t="n">
        <v>46237</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19255-2026</t>
        </is>
      </c>
      <c r="B99" t="inlineStr">
        <is>
          <t>avverkningsanmälan</t>
        </is>
      </c>
      <c r="C99" t="inlineStr">
        <is>
          <t>Föryngringsavverkning</t>
        </is>
      </c>
      <c r="D99" s="1" t="n">
        <v>46132</v>
      </c>
      <c r="E99" s="1" t="n">
        <v>46237</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19256-2026</t>
        </is>
      </c>
      <c r="B100" t="inlineStr">
        <is>
          <t>avverkningsanmälan</t>
        </is>
      </c>
      <c r="C100" t="inlineStr">
        <is>
          <t>Föryngringsavverkning</t>
        </is>
      </c>
      <c r="D100" s="1" t="n">
        <v>46132</v>
      </c>
      <c r="E100" s="1" t="n">
        <v>46237</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13243-2025</t>
        </is>
      </c>
      <c r="B101" t="inlineStr">
        <is>
          <t>avverkningsanmälan</t>
        </is>
      </c>
      <c r="C101" t="inlineStr">
        <is>
          <t>Föryngringsavverkning</t>
        </is>
      </c>
      <c r="D101" s="1" t="n">
        <v>45735</v>
      </c>
      <c r="E101" s="1" t="n">
        <v>46237</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6667-2025</t>
        </is>
      </c>
      <c r="B102" t="inlineStr">
        <is>
          <t>avverkningsanmälan</t>
        </is>
      </c>
      <c r="C102" t="inlineStr">
        <is>
          <t>Föryngringsavverkning</t>
        </is>
      </c>
      <c r="D102" s="1" t="n">
        <v>45700</v>
      </c>
      <c r="E102" s="1" t="n">
        <v>46237</v>
      </c>
      <c r="F102" t="inlineStr">
        <is>
          <t>SKÅNE LÄN</t>
        </is>
      </c>
      <c r="G102" t="inlineStr">
        <is>
          <t>ÄNGELHOLM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46237</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46237</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60-2024</t>
        </is>
      </c>
      <c r="B105" t="inlineStr">
        <is>
          <t>avverkningsanmälan</t>
        </is>
      </c>
      <c r="C105" t="inlineStr">
        <is>
          <t>Föryngringsavverkning</t>
        </is>
      </c>
      <c r="D105" s="1" t="n">
        <v>45293</v>
      </c>
      <c r="E105" s="1" t="n">
        <v>46237</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31502-2023</t>
        </is>
      </c>
      <c r="B106" t="inlineStr">
        <is>
          <t>avverkningsanmälan</t>
        </is>
      </c>
      <c r="C106" t="inlineStr">
        <is>
          <t>Föryngringsavverkning</t>
        </is>
      </c>
      <c r="D106" s="1" t="n">
        <v>45115</v>
      </c>
      <c r="E106" s="1" t="n">
        <v>46237</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60227-2025</t>
        </is>
      </c>
      <c r="B107" t="inlineStr">
        <is>
          <t>avverkningsanmälan</t>
        </is>
      </c>
      <c r="C107" t="inlineStr">
        <is>
          <t>Föryngringsavverkning</t>
        </is>
      </c>
      <c r="D107" s="1" t="n">
        <v>45994</v>
      </c>
      <c r="E107" s="1" t="n">
        <v>46237</v>
      </c>
      <c r="F107" t="inlineStr">
        <is>
          <t>SKÅNE LÄN</t>
        </is>
      </c>
      <c r="G107" t="inlineStr">
        <is>
          <t>ÄNGELHOLM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58150-2024</t>
        </is>
      </c>
      <c r="B108" t="inlineStr">
        <is>
          <t>avverkningsanmälan</t>
        </is>
      </c>
      <c r="C108" t="inlineStr">
        <is>
          <t>Föryngringsavverkning</t>
        </is>
      </c>
      <c r="D108" s="1" t="n">
        <v>45632</v>
      </c>
      <c r="E108" s="1" t="n">
        <v>46237</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4755-2024</t>
        </is>
      </c>
      <c r="B109" t="inlineStr">
        <is>
          <t>avverkningsanmälan</t>
        </is>
      </c>
      <c r="C109" t="inlineStr">
        <is>
          <t>Föryngringsavverkning</t>
        </is>
      </c>
      <c r="D109" s="1" t="n">
        <v>45328</v>
      </c>
      <c r="E109" s="1" t="n">
        <v>46237</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46237</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46286-2024</t>
        </is>
      </c>
      <c r="B111" t="inlineStr">
        <is>
          <t>avverkningsanmälan</t>
        </is>
      </c>
      <c r="C111" t="inlineStr">
        <is>
          <t>Föryngringsavverkning</t>
        </is>
      </c>
      <c r="D111" s="1" t="n">
        <v>45581</v>
      </c>
      <c r="E111" s="1" t="n">
        <v>46237</v>
      </c>
      <c r="F111" t="inlineStr">
        <is>
          <t>SKÅNE LÄN</t>
        </is>
      </c>
      <c r="G111" t="inlineStr">
        <is>
          <t>ÄNGELHOLM</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32430-2023</t>
        </is>
      </c>
      <c r="B112" t="inlineStr">
        <is>
          <t>avverkningsanmälan</t>
        </is>
      </c>
      <c r="C112" t="inlineStr">
        <is>
          <t>Föryngringsavverkning</t>
        </is>
      </c>
      <c r="D112" s="1" t="n">
        <v>45120</v>
      </c>
      <c r="E112" s="1" t="n">
        <v>46237</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28496-2023</t>
        </is>
      </c>
      <c r="B113" t="inlineStr">
        <is>
          <t>avverkningsanmälan</t>
        </is>
      </c>
      <c r="C113" t="inlineStr">
        <is>
          <t>Föryngringsavverkning</t>
        </is>
      </c>
      <c r="D113" s="1" t="n">
        <v>45103</v>
      </c>
      <c r="E113" s="1" t="n">
        <v>46237</v>
      </c>
      <c r="F113" t="inlineStr">
        <is>
          <t>SKÅNE LÄN</t>
        </is>
      </c>
      <c r="G113" t="inlineStr">
        <is>
          <t>ÄNGELHOLM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46237</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46237</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31576-2026</t>
        </is>
      </c>
      <c r="B116" t="inlineStr">
        <is>
          <t>avverkningsanmälan</t>
        </is>
      </c>
      <c r="C116" t="inlineStr">
        <is>
          <t>Föryngringsavverkning</t>
        </is>
      </c>
      <c r="D116" s="1" t="n">
        <v>46224</v>
      </c>
      <c r="E116" s="1" t="n">
        <v>46237</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4605-2025</t>
        </is>
      </c>
      <c r="B117" t="inlineStr">
        <is>
          <t>avverkningsanmälan</t>
        </is>
      </c>
      <c r="C117" t="inlineStr">
        <is>
          <t>Föryngringsavverkning</t>
        </is>
      </c>
      <c r="D117" s="1" t="n">
        <v>45687</v>
      </c>
      <c r="E117" s="1" t="n">
        <v>46237</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26986-2026</t>
        </is>
      </c>
      <c r="B118" t="inlineStr">
        <is>
          <t>avverkningsanmälan</t>
        </is>
      </c>
      <c r="C118" t="inlineStr">
        <is>
          <t>Föryngringsavverkning</t>
        </is>
      </c>
      <c r="D118" s="1" t="n">
        <v>46185</v>
      </c>
      <c r="E118" s="1" t="n">
        <v>46237</v>
      </c>
      <c r="F118" t="inlineStr">
        <is>
          <t>SKÅNE LÄN</t>
        </is>
      </c>
      <c r="G118" t="inlineStr">
        <is>
          <t>ÄNGELHOLM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21488-2023</t>
        </is>
      </c>
      <c r="B119" t="inlineStr">
        <is>
          <t>avverkningsanmälan</t>
        </is>
      </c>
      <c r="C119" t="inlineStr">
        <is>
          <t>Föryngringsavverkning</t>
        </is>
      </c>
      <c r="D119" s="1" t="n">
        <v>45061</v>
      </c>
      <c r="E119" s="1" t="n">
        <v>46237</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8665-2022</t>
        </is>
      </c>
      <c r="B120" t="inlineStr">
        <is>
          <t>avverkningsanmälan</t>
        </is>
      </c>
      <c r="C120" t="inlineStr">
        <is>
          <t>Föryngringsavverkning</t>
        </is>
      </c>
      <c r="D120" s="1" t="n">
        <v>44613</v>
      </c>
      <c r="E120" s="1" t="n">
        <v>46237</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46237</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18571-2025</t>
        </is>
      </c>
      <c r="B122" t="inlineStr">
        <is>
          <t>avverkningsanmälan</t>
        </is>
      </c>
      <c r="C122" t="inlineStr">
        <is>
          <t>Föryngringsavverkning</t>
        </is>
      </c>
      <c r="D122" s="1" t="n">
        <v>45763</v>
      </c>
      <c r="E122" s="1" t="n">
        <v>46237</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31709-2023</t>
        </is>
      </c>
      <c r="B123" t="inlineStr">
        <is>
          <t>avverkningsanmälan</t>
        </is>
      </c>
      <c r="C123" t="inlineStr">
        <is>
          <t>Föryngringsavverkning</t>
        </is>
      </c>
      <c r="D123" s="1" t="n">
        <v>45117</v>
      </c>
      <c r="E123" s="1" t="n">
        <v>46237</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23227-2023</t>
        </is>
      </c>
      <c r="B124" t="inlineStr">
        <is>
          <t>avverkningsanmälan</t>
        </is>
      </c>
      <c r="C124" t="inlineStr">
        <is>
          <t>Föryngringsavverkning</t>
        </is>
      </c>
      <c r="D124" s="1" t="n">
        <v>45075</v>
      </c>
      <c r="E124" s="1" t="n">
        <v>46237</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50652-2023</t>
        </is>
      </c>
      <c r="B125" t="inlineStr">
        <is>
          <t>avverkningsanmälan</t>
        </is>
      </c>
      <c r="C125" t="inlineStr">
        <is>
          <t>Föryngringsavverkning</t>
        </is>
      </c>
      <c r="D125" s="1" t="n">
        <v>45210</v>
      </c>
      <c r="E125" s="1" t="n">
        <v>46237</v>
      </c>
      <c r="F125" t="inlineStr">
        <is>
          <t>SKÅNE LÄN</t>
        </is>
      </c>
      <c r="G125" t="inlineStr">
        <is>
          <t>ÄNGELHOLM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9055-2026</t>
        </is>
      </c>
      <c r="B126" t="inlineStr">
        <is>
          <t>avverkningsanmälan</t>
        </is>
      </c>
      <c r="C126" t="inlineStr">
        <is>
          <t>Föryngringsavverkning</t>
        </is>
      </c>
      <c r="D126" s="1" t="n">
        <v>46069</v>
      </c>
      <c r="E126" s="1" t="n">
        <v>46237</v>
      </c>
      <c r="F126" t="inlineStr">
        <is>
          <t>SKÅNE LÄN</t>
        </is>
      </c>
      <c r="G126" t="inlineStr">
        <is>
          <t>ÄNGELHOLM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26978-2026</t>
        </is>
      </c>
      <c r="B127" t="inlineStr">
        <is>
          <t>avverkningsanmälan</t>
        </is>
      </c>
      <c r="C127" t="inlineStr">
        <is>
          <t>Föryngringsavverkning</t>
        </is>
      </c>
      <c r="D127" s="1" t="n">
        <v>46185</v>
      </c>
      <c r="E127" s="1" t="n">
        <v>46237</v>
      </c>
      <c r="F127" t="inlineStr">
        <is>
          <t>SKÅNE LÄN</t>
        </is>
      </c>
      <c r="G127" t="inlineStr">
        <is>
          <t>ÄNGELHOLM</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27097-2026</t>
        </is>
      </c>
      <c r="B128" t="inlineStr">
        <is>
          <t>avverkningsanmälan</t>
        </is>
      </c>
      <c r="C128" t="inlineStr">
        <is>
          <t>Föryngringsavverkning</t>
        </is>
      </c>
      <c r="D128" s="1" t="n">
        <v>46188</v>
      </c>
      <c r="E128" s="1" t="n">
        <v>46237</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46237</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7811-2023</t>
        </is>
      </c>
      <c r="B130" t="inlineStr">
        <is>
          <t>avverkningsanmälan</t>
        </is>
      </c>
      <c r="C130" t="inlineStr">
        <is>
          <t>Föryngringsavverkning</t>
        </is>
      </c>
      <c r="D130" s="1" t="n">
        <v>44973</v>
      </c>
      <c r="E130" s="1" t="n">
        <v>46237</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31789-2023</t>
        </is>
      </c>
      <c r="B131" t="inlineStr">
        <is>
          <t>avverkningsanmälan</t>
        </is>
      </c>
      <c r="C131" t="inlineStr">
        <is>
          <t>Föryngringsavverkning</t>
        </is>
      </c>
      <c r="D131" s="1" t="n">
        <v>45118</v>
      </c>
      <c r="E131" s="1" t="n">
        <v>46237</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46237</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46613-2024</t>
        </is>
      </c>
      <c r="B133" t="inlineStr">
        <is>
          <t>avverkningsanmälan</t>
        </is>
      </c>
      <c r="C133" t="inlineStr">
        <is>
          <t>Föryngringsavverkning</t>
        </is>
      </c>
      <c r="D133" s="1" t="n">
        <v>45583</v>
      </c>
      <c r="E133" s="1" t="n">
        <v>46237</v>
      </c>
      <c r="F133" t="inlineStr">
        <is>
          <t>SKÅNE LÄN</t>
        </is>
      </c>
      <c r="G133" t="inlineStr">
        <is>
          <t>ÄNGELHOLM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9803-2026</t>
        </is>
      </c>
      <c r="B134" t="inlineStr">
        <is>
          <t>avverkningsanmälan</t>
        </is>
      </c>
      <c r="C134" t="inlineStr">
        <is>
          <t>Föryngringsavverkning</t>
        </is>
      </c>
      <c r="D134" s="1" t="n">
        <v>46072</v>
      </c>
      <c r="E134" s="1" t="n">
        <v>46237</v>
      </c>
      <c r="F134" t="inlineStr">
        <is>
          <t>SKÅNE LÄN</t>
        </is>
      </c>
      <c r="G134" t="inlineStr">
        <is>
          <t>ÄNGELHOLM</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39014-2023</t>
        </is>
      </c>
      <c r="B135" t="inlineStr">
        <is>
          <t>avverkningsanmälan</t>
        </is>
      </c>
      <c r="C135" t="inlineStr">
        <is>
          <t>Föryngringsavverkning</t>
        </is>
      </c>
      <c r="D135" s="1" t="n">
        <v>45163</v>
      </c>
      <c r="E135" s="1" t="n">
        <v>46237</v>
      </c>
      <c r="F135" t="inlineStr">
        <is>
          <t>SKÅNE LÄN</t>
        </is>
      </c>
      <c r="G135" t="inlineStr">
        <is>
          <t>ÄNGELHOLM</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20635-2024</t>
        </is>
      </c>
      <c r="B136" t="inlineStr">
        <is>
          <t>avverkningsanmälan</t>
        </is>
      </c>
      <c r="C136" t="inlineStr">
        <is>
          <t>Föryngringsavverkning</t>
        </is>
      </c>
      <c r="D136" s="1" t="n">
        <v>45436</v>
      </c>
      <c r="E136" s="1" t="n">
        <v>46237</v>
      </c>
      <c r="F136" t="inlineStr">
        <is>
          <t>SKÅNE LÄN</t>
        </is>
      </c>
      <c r="G136" t="inlineStr">
        <is>
          <t>ÄNGELHOLM</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19500-2022</t>
        </is>
      </c>
      <c r="B137" t="inlineStr">
        <is>
          <t>avverkningsanmälan</t>
        </is>
      </c>
      <c r="C137" t="inlineStr">
        <is>
          <t>Föryngringsavverkning</t>
        </is>
      </c>
      <c r="D137" s="1" t="n">
        <v>44693</v>
      </c>
      <c r="E137" s="1" t="n">
        <v>46237</v>
      </c>
      <c r="F137" t="inlineStr">
        <is>
          <t>SKÅNE LÄN</t>
        </is>
      </c>
      <c r="G137" t="inlineStr">
        <is>
          <t>ÄNGELHOLM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44448-2023</t>
        </is>
      </c>
      <c r="B138" t="inlineStr">
        <is>
          <t>avverkningsanmälan</t>
        </is>
      </c>
      <c r="C138" t="inlineStr">
        <is>
          <t>Föryngringsavverkning</t>
        </is>
      </c>
      <c r="D138" s="1" t="n">
        <v>45189</v>
      </c>
      <c r="E138" s="1" t="n">
        <v>46237</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19650-2026</t>
        </is>
      </c>
      <c r="B139" t="inlineStr">
        <is>
          <t>avverkningsanmälan</t>
        </is>
      </c>
      <c r="C139" t="inlineStr">
        <is>
          <t>Föryngringsavverkning</t>
        </is>
      </c>
      <c r="D139" s="1" t="n">
        <v>46134</v>
      </c>
      <c r="E139" s="1" t="n">
        <v>46237</v>
      </c>
      <c r="F139" t="inlineStr">
        <is>
          <t>SKÅNE LÄN</t>
        </is>
      </c>
      <c r="G139" t="inlineStr">
        <is>
          <t>ÄNGELHOLM</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57923-2024</t>
        </is>
      </c>
      <c r="B140" t="inlineStr">
        <is>
          <t>avverkningsanmälan</t>
        </is>
      </c>
      <c r="C140" t="inlineStr">
        <is>
          <t>Föryngringsavverkning</t>
        </is>
      </c>
      <c r="D140" s="1" t="n">
        <v>45631</v>
      </c>
      <c r="E140" s="1" t="n">
        <v>46237</v>
      </c>
      <c r="F140" t="inlineStr">
        <is>
          <t>SKÅNE LÄN</t>
        </is>
      </c>
      <c r="G140" t="inlineStr">
        <is>
          <t>ÄNGELHOLM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46237</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23980-2024</t>
        </is>
      </c>
      <c r="B142" t="inlineStr">
        <is>
          <t>avverkningsanmälan</t>
        </is>
      </c>
      <c r="C142" t="inlineStr">
        <is>
          <t>Föryngringsavverkning</t>
        </is>
      </c>
      <c r="D142" s="1" t="n">
        <v>45456</v>
      </c>
      <c r="E142" s="1" t="n">
        <v>46237</v>
      </c>
      <c r="F142" t="inlineStr">
        <is>
          <t>SKÅNE LÄN</t>
        </is>
      </c>
      <c r="G142" t="inlineStr">
        <is>
          <t>ÄNGELHOLM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55748-2024</t>
        </is>
      </c>
      <c r="B143" t="inlineStr">
        <is>
          <t>avverkningsanmälan</t>
        </is>
      </c>
      <c r="C143" t="inlineStr">
        <is>
          <t>Föryngringsavverkning</t>
        </is>
      </c>
      <c r="D143" s="1" t="n">
        <v>45623</v>
      </c>
      <c r="E143" s="1" t="n">
        <v>46237</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7707-2025</t>
        </is>
      </c>
      <c r="B144" t="inlineStr">
        <is>
          <t>avverkningsanmälan</t>
        </is>
      </c>
      <c r="C144" t="inlineStr">
        <is>
          <t>Föryngringsavverkning</t>
        </is>
      </c>
      <c r="D144" s="1" t="n">
        <v>45705</v>
      </c>
      <c r="E144" s="1" t="n">
        <v>46237</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55545-2022</t>
        </is>
      </c>
      <c r="B145" t="inlineStr">
        <is>
          <t>avverkningsanmälan</t>
        </is>
      </c>
      <c r="C145" t="inlineStr">
        <is>
          <t>Föryngringsavverkning</t>
        </is>
      </c>
      <c r="D145" s="1" t="n">
        <v>44887</v>
      </c>
      <c r="E145" s="1" t="n">
        <v>46237</v>
      </c>
      <c r="F145" t="inlineStr">
        <is>
          <t>SKÅNE LÄN</t>
        </is>
      </c>
      <c r="G145" t="inlineStr">
        <is>
          <t>ÄNGELHOLM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58134-2022</t>
        </is>
      </c>
      <c r="B146" t="inlineStr">
        <is>
          <t>avverkningsanmälan</t>
        </is>
      </c>
      <c r="C146" t="inlineStr">
        <is>
          <t>Föryngringsavverkning</t>
        </is>
      </c>
      <c r="D146" s="1" t="n">
        <v>44900</v>
      </c>
      <c r="E146" s="1" t="n">
        <v>46237</v>
      </c>
      <c r="F146" t="inlineStr">
        <is>
          <t>SKÅNE LÄN</t>
        </is>
      </c>
      <c r="G146" t="inlineStr">
        <is>
          <t>ÄNGELHOLM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34514-2023</t>
        </is>
      </c>
      <c r="B147" t="inlineStr">
        <is>
          <t>avverkningsanmälan</t>
        </is>
      </c>
      <c r="C147" t="inlineStr">
        <is>
          <t>Föryngringsavverkning</t>
        </is>
      </c>
      <c r="D147" s="1" t="n">
        <v>45140</v>
      </c>
      <c r="E147" s="1" t="n">
        <v>46237</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48197-2024</t>
        </is>
      </c>
      <c r="B148" t="inlineStr">
        <is>
          <t>avverkningsanmälan</t>
        </is>
      </c>
      <c r="C148" t="inlineStr">
        <is>
          <t>Föryngringsavverkning</t>
        </is>
      </c>
      <c r="D148" s="1" t="n">
        <v>45590</v>
      </c>
      <c r="E148" s="1" t="n">
        <v>46237</v>
      </c>
      <c r="F148" t="inlineStr">
        <is>
          <t>SKÅNE LÄN</t>
        </is>
      </c>
      <c r="G148" t="inlineStr">
        <is>
          <t>ÄNGELHOLM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1299-2024</t>
        </is>
      </c>
      <c r="B149" t="inlineStr">
        <is>
          <t>avverkningsanmälan</t>
        </is>
      </c>
      <c r="C149" t="inlineStr">
        <is>
          <t>Föryngringsavverkning</t>
        </is>
      </c>
      <c r="D149" s="1" t="n">
        <v>45303</v>
      </c>
      <c r="E149" s="1" t="n">
        <v>46237</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46237</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46237</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46237</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46237</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46237</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46237</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46237</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46237</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46237</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46237</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46237</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46237</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2026-08-03T01:56:14Z</dcterms:created>
  <dcterms:modified xmlns:dcterms="http://purl.org/dc/terms/" xmlns:xsi="http://www.w3.org/2001/XMLSchema-instance" xsi:type="dcterms:W3CDTF">2026-08-03T01:56:14Z</dcterms:modified>
</cp:coreProperties>
</file>