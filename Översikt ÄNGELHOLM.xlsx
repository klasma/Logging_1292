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5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32268-2022</t>
        </is>
      </c>
      <c r="B2" s="1" t="n">
        <v>44781</v>
      </c>
      <c r="C2" s="1" t="n">
        <v>46066</v>
      </c>
      <c r="D2" t="inlineStr">
        <is>
          <t>SKÅNE LÄN</t>
        </is>
      </c>
      <c r="E2" t="inlineStr">
        <is>
          <t>ÄNGELHOLM</t>
        </is>
      </c>
      <c r="G2" t="n">
        <v>8.6</v>
      </c>
      <c r="H2" t="n">
        <v>2</v>
      </c>
      <c r="I2" t="n">
        <v>4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8</v>
      </c>
      <c r="R2" s="2" t="inlineStr">
        <is>
          <t>Bokvårtlav
Hypoxylon petriniae
Blåmossa
Dvärghäxört
Skuggsprötmossa
Västlig hakmossa
Vanlig groda
Vanlig padda</t>
        </is>
      </c>
      <c r="S2">
        <f>HYPERLINK("https://klasma.github.io/Logging_1292/artfynd/A 32268-2022 artfynd.xlsx", "A 32268-2022")</f>
        <v/>
      </c>
      <c r="T2">
        <f>HYPERLINK("https://klasma.github.io/Logging_1292/kartor/A 32268-2022 karta.png", "A 32268-2022")</f>
        <v/>
      </c>
      <c r="V2">
        <f>HYPERLINK("https://klasma.github.io/Logging_1292/klagomål/A 32268-2022 FSC-klagomål.docx", "A 32268-2022")</f>
        <v/>
      </c>
      <c r="W2">
        <f>HYPERLINK("https://klasma.github.io/Logging_1292/klagomålsmail/A 32268-2022 FSC-klagomål mail.docx", "A 32268-2022")</f>
        <v/>
      </c>
      <c r="X2">
        <f>HYPERLINK("https://klasma.github.io/Logging_1292/tillsyn/A 32268-2022 tillsynsbegäran.docx", "A 32268-2022")</f>
        <v/>
      </c>
      <c r="Y2">
        <f>HYPERLINK("https://klasma.github.io/Logging_1292/tillsynsmail/A 32268-2022 tillsynsbegäran mail.docx", "A 32268-2022")</f>
        <v/>
      </c>
    </row>
    <row r="3" ht="15" customHeight="1">
      <c r="A3" t="inlineStr">
        <is>
          <t>A 74502-2021</t>
        </is>
      </c>
      <c r="B3" s="1" t="n">
        <v>44560</v>
      </c>
      <c r="C3" s="1" t="n">
        <v>46066</v>
      </c>
      <c r="D3" t="inlineStr">
        <is>
          <t>SKÅNE LÄN</t>
        </is>
      </c>
      <c r="E3" t="inlineStr">
        <is>
          <t>ÄNGELHOLM</t>
        </is>
      </c>
      <c r="G3" t="n">
        <v>5.6</v>
      </c>
      <c r="H3" t="n">
        <v>4</v>
      </c>
      <c r="I3" t="n">
        <v>1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5</v>
      </c>
      <c r="R3" s="2" t="inlineStr">
        <is>
          <t>Entita
Grönsångare
Spillkråka
Västlig hakmossa
Skogsduva</t>
        </is>
      </c>
      <c r="S3">
        <f>HYPERLINK("https://klasma.github.io/Logging_1292/artfynd/A 74502-2021 artfynd.xlsx", "A 74502-2021")</f>
        <v/>
      </c>
      <c r="T3">
        <f>HYPERLINK("https://klasma.github.io/Logging_1292/kartor/A 74502-2021 karta.png", "A 74502-2021")</f>
        <v/>
      </c>
      <c r="V3">
        <f>HYPERLINK("https://klasma.github.io/Logging_1292/klagomål/A 74502-2021 FSC-klagomål.docx", "A 74502-2021")</f>
        <v/>
      </c>
      <c r="W3">
        <f>HYPERLINK("https://klasma.github.io/Logging_1292/klagomålsmail/A 74502-2021 FSC-klagomål mail.docx", "A 74502-2021")</f>
        <v/>
      </c>
      <c r="X3">
        <f>HYPERLINK("https://klasma.github.io/Logging_1292/tillsyn/A 74502-2021 tillsynsbegäran.docx", "A 74502-2021")</f>
        <v/>
      </c>
      <c r="Y3">
        <f>HYPERLINK("https://klasma.github.io/Logging_1292/tillsynsmail/A 74502-2021 tillsynsbegäran mail.docx", "A 74502-2021")</f>
        <v/>
      </c>
      <c r="Z3">
        <f>HYPERLINK("https://klasma.github.io/Logging_1292/fåglar/A 74502-2021 prioriterade fågelarter.docx", "A 74502-2021")</f>
        <v/>
      </c>
    </row>
    <row r="4" ht="15" customHeight="1">
      <c r="A4" t="inlineStr">
        <is>
          <t>A 31991-2025</t>
        </is>
      </c>
      <c r="B4" s="1" t="n">
        <v>45835</v>
      </c>
      <c r="C4" s="1" t="n">
        <v>46066</v>
      </c>
      <c r="D4" t="inlineStr">
        <is>
          <t>SKÅNE LÄN</t>
        </is>
      </c>
      <c r="E4" t="inlineStr">
        <is>
          <t>ÄNGELHOLM</t>
        </is>
      </c>
      <c r="G4" t="n">
        <v>15.1</v>
      </c>
      <c r="H4" t="n">
        <v>1</v>
      </c>
      <c r="I4" t="n">
        <v>3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4</v>
      </c>
      <c r="R4" s="2" t="inlineStr">
        <is>
          <t>Ärtsångare
Blanksvart trämyra
Rostfläck
Västlig hakmossa</t>
        </is>
      </c>
      <c r="S4">
        <f>HYPERLINK("https://klasma.github.io/Logging_1292/artfynd/A 31991-2025 artfynd.xlsx", "A 31991-2025")</f>
        <v/>
      </c>
      <c r="T4">
        <f>HYPERLINK("https://klasma.github.io/Logging_1292/kartor/A 31991-2025 karta.png", "A 31991-2025")</f>
        <v/>
      </c>
      <c r="V4">
        <f>HYPERLINK("https://klasma.github.io/Logging_1292/klagomål/A 31991-2025 FSC-klagomål.docx", "A 31991-2025")</f>
        <v/>
      </c>
      <c r="W4">
        <f>HYPERLINK("https://klasma.github.io/Logging_1292/klagomålsmail/A 31991-2025 FSC-klagomål mail.docx", "A 31991-2025")</f>
        <v/>
      </c>
      <c r="X4">
        <f>HYPERLINK("https://klasma.github.io/Logging_1292/tillsyn/A 31991-2025 tillsynsbegäran.docx", "A 31991-2025")</f>
        <v/>
      </c>
      <c r="Y4">
        <f>HYPERLINK("https://klasma.github.io/Logging_1292/tillsynsmail/A 31991-2025 tillsynsbegäran mail.docx", "A 31991-2025")</f>
        <v/>
      </c>
      <c r="Z4">
        <f>HYPERLINK("https://klasma.github.io/Logging_1292/fåglar/A 31991-2025 prioriterade fågelarter.docx", "A 31991-2025")</f>
        <v/>
      </c>
    </row>
    <row r="5" ht="15" customHeight="1">
      <c r="A5" t="inlineStr">
        <is>
          <t>A 2931-2026</t>
        </is>
      </c>
      <c r="B5" s="1" t="n">
        <v>46038.58359953704</v>
      </c>
      <c r="C5" s="1" t="n">
        <v>46066</v>
      </c>
      <c r="D5" t="inlineStr">
        <is>
          <t>SKÅNE LÄN</t>
        </is>
      </c>
      <c r="E5" t="inlineStr">
        <is>
          <t>ÄNGELHOLM</t>
        </is>
      </c>
      <c r="G5" t="n">
        <v>3.5</v>
      </c>
      <c r="H5" t="n">
        <v>3</v>
      </c>
      <c r="I5" t="n">
        <v>0</v>
      </c>
      <c r="J5" t="n">
        <v>2</v>
      </c>
      <c r="K5" t="n">
        <v>1</v>
      </c>
      <c r="L5" t="n">
        <v>0</v>
      </c>
      <c r="M5" t="n">
        <v>0</v>
      </c>
      <c r="N5" t="n">
        <v>0</v>
      </c>
      <c r="O5" t="n">
        <v>3</v>
      </c>
      <c r="P5" t="n">
        <v>1</v>
      </c>
      <c r="Q5" t="n">
        <v>4</v>
      </c>
      <c r="R5" s="2" t="inlineStr">
        <is>
          <t>Småvänderot
Entita
Spillkråka
Grönsiska</t>
        </is>
      </c>
      <c r="S5">
        <f>HYPERLINK("https://klasma.github.io/Logging_1292/artfynd/A 2931-2026 artfynd.xlsx", "A 2931-2026")</f>
        <v/>
      </c>
      <c r="T5">
        <f>HYPERLINK("https://klasma.github.io/Logging_1292/kartor/A 2931-2026 karta.png", "A 2931-2026")</f>
        <v/>
      </c>
      <c r="V5">
        <f>HYPERLINK("https://klasma.github.io/Logging_1292/klagomål/A 2931-2026 FSC-klagomål.docx", "A 2931-2026")</f>
        <v/>
      </c>
      <c r="W5">
        <f>HYPERLINK("https://klasma.github.io/Logging_1292/klagomålsmail/A 2931-2026 FSC-klagomål mail.docx", "A 2931-2026")</f>
        <v/>
      </c>
      <c r="X5">
        <f>HYPERLINK("https://klasma.github.io/Logging_1292/tillsyn/A 2931-2026 tillsynsbegäran.docx", "A 2931-2026")</f>
        <v/>
      </c>
      <c r="Y5">
        <f>HYPERLINK("https://klasma.github.io/Logging_1292/tillsynsmail/A 2931-2026 tillsynsbegäran mail.docx", "A 2931-2026")</f>
        <v/>
      </c>
      <c r="Z5">
        <f>HYPERLINK("https://klasma.github.io/Logging_1292/fåglar/A 2931-2026 prioriterade fågelarter.docx", "A 2931-2026")</f>
        <v/>
      </c>
    </row>
    <row r="6" ht="15" customHeight="1">
      <c r="A6" t="inlineStr">
        <is>
          <t>A 584-2025</t>
        </is>
      </c>
      <c r="B6" s="1" t="n">
        <v>45664.57672453704</v>
      </c>
      <c r="C6" s="1" t="n">
        <v>46066</v>
      </c>
      <c r="D6" t="inlineStr">
        <is>
          <t>SKÅNE LÄN</t>
        </is>
      </c>
      <c r="E6" t="inlineStr">
        <is>
          <t>ÄNGELHOLM</t>
        </is>
      </c>
      <c r="G6" t="n">
        <v>1.2</v>
      </c>
      <c r="H6" t="n">
        <v>3</v>
      </c>
      <c r="I6" t="n">
        <v>0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3</v>
      </c>
      <c r="R6" s="2" t="inlineStr">
        <is>
          <t>Entita
Spillkråka
Kungsfågel</t>
        </is>
      </c>
      <c r="S6">
        <f>HYPERLINK("https://klasma.github.io/Logging_1292/artfynd/A 584-2025 artfynd.xlsx", "A 584-2025")</f>
        <v/>
      </c>
      <c r="T6">
        <f>HYPERLINK("https://klasma.github.io/Logging_1292/kartor/A 584-2025 karta.png", "A 584-2025")</f>
        <v/>
      </c>
      <c r="V6">
        <f>HYPERLINK("https://klasma.github.io/Logging_1292/klagomål/A 584-2025 FSC-klagomål.docx", "A 584-2025")</f>
        <v/>
      </c>
      <c r="W6">
        <f>HYPERLINK("https://klasma.github.io/Logging_1292/klagomålsmail/A 584-2025 FSC-klagomål mail.docx", "A 584-2025")</f>
        <v/>
      </c>
      <c r="X6">
        <f>HYPERLINK("https://klasma.github.io/Logging_1292/tillsyn/A 584-2025 tillsynsbegäran.docx", "A 584-2025")</f>
        <v/>
      </c>
      <c r="Y6">
        <f>HYPERLINK("https://klasma.github.io/Logging_1292/tillsynsmail/A 584-2025 tillsynsbegäran mail.docx", "A 584-2025")</f>
        <v/>
      </c>
      <c r="Z6">
        <f>HYPERLINK("https://klasma.github.io/Logging_1292/fåglar/A 584-2025 prioriterade fågelarter.docx", "A 584-2025")</f>
        <v/>
      </c>
    </row>
    <row r="7" ht="15" customHeight="1">
      <c r="A7" t="inlineStr">
        <is>
          <t>A 905-2024</t>
        </is>
      </c>
      <c r="B7" s="1" t="n">
        <v>45301</v>
      </c>
      <c r="C7" s="1" t="n">
        <v>46066</v>
      </c>
      <c r="D7" t="inlineStr">
        <is>
          <t>SKÅNE LÄN</t>
        </is>
      </c>
      <c r="E7" t="inlineStr">
        <is>
          <t>ÄNGELHOLM</t>
        </is>
      </c>
      <c r="G7" t="n">
        <v>4.9</v>
      </c>
      <c r="H7" t="n">
        <v>0</v>
      </c>
      <c r="I7" t="n">
        <v>1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3</v>
      </c>
      <c r="R7" s="2" t="inlineStr">
        <is>
          <t>Boktigerfluga
Desmeknopp
Myskmadra</t>
        </is>
      </c>
      <c r="S7">
        <f>HYPERLINK("https://klasma.github.io/Logging_1292/artfynd/A 905-2024 artfynd.xlsx", "A 905-2024")</f>
        <v/>
      </c>
      <c r="T7">
        <f>HYPERLINK("https://klasma.github.io/Logging_1292/kartor/A 905-2024 karta.png", "A 905-2024")</f>
        <v/>
      </c>
      <c r="V7">
        <f>HYPERLINK("https://klasma.github.io/Logging_1292/klagomål/A 905-2024 FSC-klagomål.docx", "A 905-2024")</f>
        <v/>
      </c>
      <c r="W7">
        <f>HYPERLINK("https://klasma.github.io/Logging_1292/klagomålsmail/A 905-2024 FSC-klagomål mail.docx", "A 905-2024")</f>
        <v/>
      </c>
      <c r="X7">
        <f>HYPERLINK("https://klasma.github.io/Logging_1292/tillsyn/A 905-2024 tillsynsbegäran.docx", "A 905-2024")</f>
        <v/>
      </c>
      <c r="Y7">
        <f>HYPERLINK("https://klasma.github.io/Logging_1292/tillsynsmail/A 905-2024 tillsynsbegäran mail.docx", "A 905-2024")</f>
        <v/>
      </c>
    </row>
    <row r="8" ht="15" customHeight="1">
      <c r="A8" t="inlineStr">
        <is>
          <t>A 28874-2023</t>
        </is>
      </c>
      <c r="B8" s="1" t="n">
        <v>45104</v>
      </c>
      <c r="C8" s="1" t="n">
        <v>46066</v>
      </c>
      <c r="D8" t="inlineStr">
        <is>
          <t>SKÅNE LÄN</t>
        </is>
      </c>
      <c r="E8" t="inlineStr">
        <is>
          <t>ÄNGELHOLM</t>
        </is>
      </c>
      <c r="G8" t="n">
        <v>9</v>
      </c>
      <c r="H8" t="n">
        <v>1</v>
      </c>
      <c r="I8" t="n">
        <v>2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3</v>
      </c>
      <c r="R8" s="2" t="inlineStr">
        <is>
          <t>Blåmossa
Stubbspretmossa
Revlummer</t>
        </is>
      </c>
      <c r="S8">
        <f>HYPERLINK("https://klasma.github.io/Logging_1292/artfynd/A 28874-2023 artfynd.xlsx", "A 28874-2023")</f>
        <v/>
      </c>
      <c r="T8">
        <f>HYPERLINK("https://klasma.github.io/Logging_1292/kartor/A 28874-2023 karta.png", "A 28874-2023")</f>
        <v/>
      </c>
      <c r="V8">
        <f>HYPERLINK("https://klasma.github.io/Logging_1292/klagomål/A 28874-2023 FSC-klagomål.docx", "A 28874-2023")</f>
        <v/>
      </c>
      <c r="W8">
        <f>HYPERLINK("https://klasma.github.io/Logging_1292/klagomålsmail/A 28874-2023 FSC-klagomål mail.docx", "A 28874-2023")</f>
        <v/>
      </c>
      <c r="X8">
        <f>HYPERLINK("https://klasma.github.io/Logging_1292/tillsyn/A 28874-2023 tillsynsbegäran.docx", "A 28874-2023")</f>
        <v/>
      </c>
      <c r="Y8">
        <f>HYPERLINK("https://klasma.github.io/Logging_1292/tillsynsmail/A 28874-2023 tillsynsbegäran mail.docx", "A 28874-2023")</f>
        <v/>
      </c>
    </row>
    <row r="9" ht="15" customHeight="1">
      <c r="A9" t="inlineStr">
        <is>
          <t>A 18559-2025</t>
        </is>
      </c>
      <c r="B9" s="1" t="n">
        <v>45763</v>
      </c>
      <c r="C9" s="1" t="n">
        <v>46066</v>
      </c>
      <c r="D9" t="inlineStr">
        <is>
          <t>SKÅNE LÄN</t>
        </is>
      </c>
      <c r="E9" t="inlineStr">
        <is>
          <t>ÄNGELHOLM</t>
        </is>
      </c>
      <c r="G9" t="n">
        <v>3</v>
      </c>
      <c r="H9" t="n">
        <v>3</v>
      </c>
      <c r="I9" t="n">
        <v>0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3</v>
      </c>
      <c r="R9" s="2" t="inlineStr">
        <is>
          <t>Grönsångare
Gulsparv
Gröngöling</t>
        </is>
      </c>
      <c r="S9">
        <f>HYPERLINK("https://klasma.github.io/Logging_1292/artfynd/A 18559-2025 artfynd.xlsx", "A 18559-2025")</f>
        <v/>
      </c>
      <c r="T9">
        <f>HYPERLINK("https://klasma.github.io/Logging_1292/kartor/A 18559-2025 karta.png", "A 18559-2025")</f>
        <v/>
      </c>
      <c r="V9">
        <f>HYPERLINK("https://klasma.github.io/Logging_1292/klagomål/A 18559-2025 FSC-klagomål.docx", "A 18559-2025")</f>
        <v/>
      </c>
      <c r="W9">
        <f>HYPERLINK("https://klasma.github.io/Logging_1292/klagomålsmail/A 18559-2025 FSC-klagomål mail.docx", "A 18559-2025")</f>
        <v/>
      </c>
      <c r="X9">
        <f>HYPERLINK("https://klasma.github.io/Logging_1292/tillsyn/A 18559-2025 tillsynsbegäran.docx", "A 18559-2025")</f>
        <v/>
      </c>
      <c r="Y9">
        <f>HYPERLINK("https://klasma.github.io/Logging_1292/tillsynsmail/A 18559-2025 tillsynsbegäran mail.docx", "A 18559-2025")</f>
        <v/>
      </c>
      <c r="Z9">
        <f>HYPERLINK("https://klasma.github.io/Logging_1292/fåglar/A 18559-2025 prioriterade fågelarter.docx", "A 18559-2025")</f>
        <v/>
      </c>
    </row>
    <row r="10" ht="15" customHeight="1">
      <c r="A10" t="inlineStr">
        <is>
          <t>A 29157-2023</t>
        </is>
      </c>
      <c r="B10" s="1" t="n">
        <v>45105.47994212963</v>
      </c>
      <c r="C10" s="1" t="n">
        <v>46066</v>
      </c>
      <c r="D10" t="inlineStr">
        <is>
          <t>SKÅNE LÄN</t>
        </is>
      </c>
      <c r="E10" t="inlineStr">
        <is>
          <t>ÄNGELHOLM</t>
        </is>
      </c>
      <c r="G10" t="n">
        <v>6.9</v>
      </c>
      <c r="H10" t="n">
        <v>2</v>
      </c>
      <c r="I10" t="n">
        <v>0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2</v>
      </c>
      <c r="R10" s="2" t="inlineStr">
        <is>
          <t>Entita
Talltita</t>
        </is>
      </c>
      <c r="S10">
        <f>HYPERLINK("https://klasma.github.io/Logging_1292/artfynd/A 29157-2023 artfynd.xlsx", "A 29157-2023")</f>
        <v/>
      </c>
      <c r="T10">
        <f>HYPERLINK("https://klasma.github.io/Logging_1292/kartor/A 29157-2023 karta.png", "A 29157-2023")</f>
        <v/>
      </c>
      <c r="V10">
        <f>HYPERLINK("https://klasma.github.io/Logging_1292/klagomål/A 29157-2023 FSC-klagomål.docx", "A 29157-2023")</f>
        <v/>
      </c>
      <c r="W10">
        <f>HYPERLINK("https://klasma.github.io/Logging_1292/klagomålsmail/A 29157-2023 FSC-klagomål mail.docx", "A 29157-2023")</f>
        <v/>
      </c>
      <c r="X10">
        <f>HYPERLINK("https://klasma.github.io/Logging_1292/tillsyn/A 29157-2023 tillsynsbegäran.docx", "A 29157-2023")</f>
        <v/>
      </c>
      <c r="Y10">
        <f>HYPERLINK("https://klasma.github.io/Logging_1292/tillsynsmail/A 29157-2023 tillsynsbegäran mail.docx", "A 29157-2023")</f>
        <v/>
      </c>
      <c r="Z10">
        <f>HYPERLINK("https://klasma.github.io/Logging_1292/fåglar/A 29157-2023 prioriterade fågelarter.docx", "A 29157-2023")</f>
        <v/>
      </c>
    </row>
    <row r="11" ht="15" customHeight="1">
      <c r="A11" t="inlineStr">
        <is>
          <t>A 8065-2025</t>
        </is>
      </c>
      <c r="B11" s="1" t="n">
        <v>45707</v>
      </c>
      <c r="C11" s="1" t="n">
        <v>46066</v>
      </c>
      <c r="D11" t="inlineStr">
        <is>
          <t>SKÅNE LÄN</t>
        </is>
      </c>
      <c r="E11" t="inlineStr">
        <is>
          <t>ÄNGELHOLM</t>
        </is>
      </c>
      <c r="G11" t="n">
        <v>3.3</v>
      </c>
      <c r="H11" t="n">
        <v>0</v>
      </c>
      <c r="I11" t="n">
        <v>0</v>
      </c>
      <c r="J11" t="n">
        <v>1</v>
      </c>
      <c r="K11" t="n">
        <v>1</v>
      </c>
      <c r="L11" t="n">
        <v>0</v>
      </c>
      <c r="M11" t="n">
        <v>0</v>
      </c>
      <c r="N11" t="n">
        <v>0</v>
      </c>
      <c r="O11" t="n">
        <v>2</v>
      </c>
      <c r="P11" t="n">
        <v>1</v>
      </c>
      <c r="Q11" t="n">
        <v>2</v>
      </c>
      <c r="R11" s="2" t="inlineStr">
        <is>
          <t>Småvänderot
Svinrot</t>
        </is>
      </c>
      <c r="S11">
        <f>HYPERLINK("https://klasma.github.io/Logging_1292/artfynd/A 8065-2025 artfynd.xlsx", "A 8065-2025")</f>
        <v/>
      </c>
      <c r="T11">
        <f>HYPERLINK("https://klasma.github.io/Logging_1292/kartor/A 8065-2025 karta.png", "A 8065-2025")</f>
        <v/>
      </c>
      <c r="V11">
        <f>HYPERLINK("https://klasma.github.io/Logging_1292/klagomål/A 8065-2025 FSC-klagomål.docx", "A 8065-2025")</f>
        <v/>
      </c>
      <c r="W11">
        <f>HYPERLINK("https://klasma.github.io/Logging_1292/klagomålsmail/A 8065-2025 FSC-klagomål mail.docx", "A 8065-2025")</f>
        <v/>
      </c>
      <c r="X11">
        <f>HYPERLINK("https://klasma.github.io/Logging_1292/tillsyn/A 8065-2025 tillsynsbegäran.docx", "A 8065-2025")</f>
        <v/>
      </c>
      <c r="Y11">
        <f>HYPERLINK("https://klasma.github.io/Logging_1292/tillsynsmail/A 8065-2025 tillsynsbegäran mail.docx", "A 8065-2025")</f>
        <v/>
      </c>
    </row>
    <row r="12" ht="15" customHeight="1">
      <c r="A12" t="inlineStr">
        <is>
          <t>A 36038-2022</t>
        </is>
      </c>
      <c r="B12" s="1" t="n">
        <v>44802</v>
      </c>
      <c r="C12" s="1" t="n">
        <v>46066</v>
      </c>
      <c r="D12" t="inlineStr">
        <is>
          <t>SKÅNE LÄN</t>
        </is>
      </c>
      <c r="E12" t="inlineStr">
        <is>
          <t>ÄNGELHOLM</t>
        </is>
      </c>
      <c r="G12" t="n">
        <v>1.7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Västlig hakmossa</t>
        </is>
      </c>
      <c r="S12">
        <f>HYPERLINK("https://klasma.github.io/Logging_1292/artfynd/A 36038-2022 artfynd.xlsx", "A 36038-2022")</f>
        <v/>
      </c>
      <c r="T12">
        <f>HYPERLINK("https://klasma.github.io/Logging_1292/kartor/A 36038-2022 karta.png", "A 36038-2022")</f>
        <v/>
      </c>
      <c r="V12">
        <f>HYPERLINK("https://klasma.github.io/Logging_1292/klagomål/A 36038-2022 FSC-klagomål.docx", "A 36038-2022")</f>
        <v/>
      </c>
      <c r="W12">
        <f>HYPERLINK("https://klasma.github.io/Logging_1292/klagomålsmail/A 36038-2022 FSC-klagomål mail.docx", "A 36038-2022")</f>
        <v/>
      </c>
      <c r="X12">
        <f>HYPERLINK("https://klasma.github.io/Logging_1292/tillsyn/A 36038-2022 tillsynsbegäran.docx", "A 36038-2022")</f>
        <v/>
      </c>
      <c r="Y12">
        <f>HYPERLINK("https://klasma.github.io/Logging_1292/tillsynsmail/A 36038-2022 tillsynsbegäran mail.docx", "A 36038-2022")</f>
        <v/>
      </c>
    </row>
    <row r="13" ht="15" customHeight="1">
      <c r="A13" t="inlineStr">
        <is>
          <t>A 27327-2022</t>
        </is>
      </c>
      <c r="B13" s="1" t="n">
        <v>44742</v>
      </c>
      <c r="C13" s="1" t="n">
        <v>46066</v>
      </c>
      <c r="D13" t="inlineStr">
        <is>
          <t>SKÅNE LÄN</t>
        </is>
      </c>
      <c r="E13" t="inlineStr">
        <is>
          <t>ÄNGELHOLM</t>
        </is>
      </c>
      <c r="G13" t="n">
        <v>0.6</v>
      </c>
      <c r="H13" t="n">
        <v>0</v>
      </c>
      <c r="I13" t="n">
        <v>0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Småvänderot</t>
        </is>
      </c>
      <c r="S13">
        <f>HYPERLINK("https://klasma.github.io/Logging_1292/artfynd/A 27327-2022 artfynd.xlsx", "A 27327-2022")</f>
        <v/>
      </c>
      <c r="T13">
        <f>HYPERLINK("https://klasma.github.io/Logging_1292/kartor/A 27327-2022 karta.png", "A 27327-2022")</f>
        <v/>
      </c>
      <c r="V13">
        <f>HYPERLINK("https://klasma.github.io/Logging_1292/klagomål/A 27327-2022 FSC-klagomål.docx", "A 27327-2022")</f>
        <v/>
      </c>
      <c r="W13">
        <f>HYPERLINK("https://klasma.github.io/Logging_1292/klagomålsmail/A 27327-2022 FSC-klagomål mail.docx", "A 27327-2022")</f>
        <v/>
      </c>
      <c r="X13">
        <f>HYPERLINK("https://klasma.github.io/Logging_1292/tillsyn/A 27327-2022 tillsynsbegäran.docx", "A 27327-2022")</f>
        <v/>
      </c>
      <c r="Y13">
        <f>HYPERLINK("https://klasma.github.io/Logging_1292/tillsynsmail/A 27327-2022 tillsynsbegäran mail.docx", "A 27327-2022")</f>
        <v/>
      </c>
    </row>
    <row r="14" ht="15" customHeight="1">
      <c r="A14" t="inlineStr">
        <is>
          <t>A 28265-2022</t>
        </is>
      </c>
      <c r="B14" s="1" t="n">
        <v>44746</v>
      </c>
      <c r="C14" s="1" t="n">
        <v>46066</v>
      </c>
      <c r="D14" t="inlineStr">
        <is>
          <t>SKÅNE LÄN</t>
        </is>
      </c>
      <c r="E14" t="inlineStr">
        <is>
          <t>ÄNGELHOLM</t>
        </is>
      </c>
      <c r="G14" t="n">
        <v>3.3</v>
      </c>
      <c r="H14" t="n">
        <v>1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Havsörn</t>
        </is>
      </c>
      <c r="S14">
        <f>HYPERLINK("https://klasma.github.io/Logging_1292/artfynd/A 28265-2022 artfynd.xlsx", "A 28265-2022")</f>
        <v/>
      </c>
      <c r="T14">
        <f>HYPERLINK("https://klasma.github.io/Logging_1292/kartor/A 28265-2022 karta.png", "A 28265-2022")</f>
        <v/>
      </c>
      <c r="V14">
        <f>HYPERLINK("https://klasma.github.io/Logging_1292/klagomål/A 28265-2022 FSC-klagomål.docx", "A 28265-2022")</f>
        <v/>
      </c>
      <c r="W14">
        <f>HYPERLINK("https://klasma.github.io/Logging_1292/klagomålsmail/A 28265-2022 FSC-klagomål mail.docx", "A 28265-2022")</f>
        <v/>
      </c>
      <c r="X14">
        <f>HYPERLINK("https://klasma.github.io/Logging_1292/tillsyn/A 28265-2022 tillsynsbegäran.docx", "A 28265-2022")</f>
        <v/>
      </c>
      <c r="Y14">
        <f>HYPERLINK("https://klasma.github.io/Logging_1292/tillsynsmail/A 28265-2022 tillsynsbegäran mail.docx", "A 28265-2022")</f>
        <v/>
      </c>
      <c r="Z14">
        <f>HYPERLINK("https://klasma.github.io/Logging_1292/fåglar/A 28265-2022 prioriterade fågelarter.docx", "A 28265-2022")</f>
        <v/>
      </c>
    </row>
    <row r="15" ht="15" customHeight="1">
      <c r="A15" t="inlineStr">
        <is>
          <t>A 38752-2025</t>
        </is>
      </c>
      <c r="B15" s="1" t="n">
        <v>45887.39311342593</v>
      </c>
      <c r="C15" s="1" t="n">
        <v>46066</v>
      </c>
      <c r="D15" t="inlineStr">
        <is>
          <t>SKÅNE LÄN</t>
        </is>
      </c>
      <c r="E15" t="inlineStr">
        <is>
          <t>ÄNGELHOLM</t>
        </is>
      </c>
      <c r="G15" t="n">
        <v>3.4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Slåtterfibbla</t>
        </is>
      </c>
      <c r="S15">
        <f>HYPERLINK("https://klasma.github.io/Logging_1292/artfynd/A 38752-2025 artfynd.xlsx", "A 38752-2025")</f>
        <v/>
      </c>
      <c r="T15">
        <f>HYPERLINK("https://klasma.github.io/Logging_1292/kartor/A 38752-2025 karta.png", "A 38752-2025")</f>
        <v/>
      </c>
      <c r="V15">
        <f>HYPERLINK("https://klasma.github.io/Logging_1292/klagomål/A 38752-2025 FSC-klagomål.docx", "A 38752-2025")</f>
        <v/>
      </c>
      <c r="W15">
        <f>HYPERLINK("https://klasma.github.io/Logging_1292/klagomålsmail/A 38752-2025 FSC-klagomål mail.docx", "A 38752-2025")</f>
        <v/>
      </c>
      <c r="X15">
        <f>HYPERLINK("https://klasma.github.io/Logging_1292/tillsyn/A 38752-2025 tillsynsbegäran.docx", "A 38752-2025")</f>
        <v/>
      </c>
      <c r="Y15">
        <f>HYPERLINK("https://klasma.github.io/Logging_1292/tillsynsmail/A 38752-2025 tillsynsbegäran mail.docx", "A 38752-2025")</f>
        <v/>
      </c>
    </row>
    <row r="16" ht="15" customHeight="1">
      <c r="A16" t="inlineStr">
        <is>
          <t>A 8133-2026</t>
        </is>
      </c>
      <c r="B16" s="1" t="n">
        <v>46064.30774305556</v>
      </c>
      <c r="C16" s="1" t="n">
        <v>46066</v>
      </c>
      <c r="D16" t="inlineStr">
        <is>
          <t>SKÅNE LÄN</t>
        </is>
      </c>
      <c r="E16" t="inlineStr">
        <is>
          <t>ÄNGELHOLM</t>
        </is>
      </c>
      <c r="G16" t="n">
        <v>4.4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Blomkålssvamp</t>
        </is>
      </c>
      <c r="S16">
        <f>HYPERLINK("https://klasma.github.io/Logging_1292/artfynd/A 8133-2026 artfynd.xlsx", "A 8133-2026")</f>
        <v/>
      </c>
      <c r="T16">
        <f>HYPERLINK("https://klasma.github.io/Logging_1292/kartor/A 8133-2026 karta.png", "A 8133-2026")</f>
        <v/>
      </c>
      <c r="V16">
        <f>HYPERLINK("https://klasma.github.io/Logging_1292/klagomål/A 8133-2026 FSC-klagomål.docx", "A 8133-2026")</f>
        <v/>
      </c>
      <c r="W16">
        <f>HYPERLINK("https://klasma.github.io/Logging_1292/klagomålsmail/A 8133-2026 FSC-klagomål mail.docx", "A 8133-2026")</f>
        <v/>
      </c>
      <c r="X16">
        <f>HYPERLINK("https://klasma.github.io/Logging_1292/tillsyn/A 8133-2026 tillsynsbegäran.docx", "A 8133-2026")</f>
        <v/>
      </c>
      <c r="Y16">
        <f>HYPERLINK("https://klasma.github.io/Logging_1292/tillsynsmail/A 8133-2026 tillsynsbegäran mail.docx", "A 8133-2026")</f>
        <v/>
      </c>
    </row>
    <row r="17" ht="15" customHeight="1">
      <c r="A17" t="inlineStr">
        <is>
          <t>A 33520-2025</t>
        </is>
      </c>
      <c r="B17" s="1" t="n">
        <v>45841.54231481482</v>
      </c>
      <c r="C17" s="1" t="n">
        <v>46066</v>
      </c>
      <c r="D17" t="inlineStr">
        <is>
          <t>SKÅNE LÄN</t>
        </is>
      </c>
      <c r="E17" t="inlineStr">
        <is>
          <t>ÄNGELHOLM</t>
        </is>
      </c>
      <c r="G17" t="n">
        <v>2.4</v>
      </c>
      <c r="H17" t="n">
        <v>1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Entita</t>
        </is>
      </c>
      <c r="S17">
        <f>HYPERLINK("https://klasma.github.io/Logging_1292/artfynd/A 33520-2025 artfynd.xlsx", "A 33520-2025")</f>
        <v/>
      </c>
      <c r="T17">
        <f>HYPERLINK("https://klasma.github.io/Logging_1292/kartor/A 33520-2025 karta.png", "A 33520-2025")</f>
        <v/>
      </c>
      <c r="V17">
        <f>HYPERLINK("https://klasma.github.io/Logging_1292/klagomål/A 33520-2025 FSC-klagomål.docx", "A 33520-2025")</f>
        <v/>
      </c>
      <c r="W17">
        <f>HYPERLINK("https://klasma.github.io/Logging_1292/klagomålsmail/A 33520-2025 FSC-klagomål mail.docx", "A 33520-2025")</f>
        <v/>
      </c>
      <c r="X17">
        <f>HYPERLINK("https://klasma.github.io/Logging_1292/tillsyn/A 33520-2025 tillsynsbegäran.docx", "A 33520-2025")</f>
        <v/>
      </c>
      <c r="Y17">
        <f>HYPERLINK("https://klasma.github.io/Logging_1292/tillsynsmail/A 33520-2025 tillsynsbegäran mail.docx", "A 33520-2025")</f>
        <v/>
      </c>
      <c r="Z17">
        <f>HYPERLINK("https://klasma.github.io/Logging_1292/fåglar/A 33520-2025 prioriterade fågelarter.docx", "A 33520-2025")</f>
        <v/>
      </c>
    </row>
    <row r="18" ht="15" customHeight="1">
      <c r="A18" t="inlineStr">
        <is>
          <t>A 50642-2023</t>
        </is>
      </c>
      <c r="B18" s="1" t="n">
        <v>45210</v>
      </c>
      <c r="C18" s="1" t="n">
        <v>46066</v>
      </c>
      <c r="D18" t="inlineStr">
        <is>
          <t>SKÅNE LÄN</t>
        </is>
      </c>
      <c r="E18" t="inlineStr">
        <is>
          <t>ÄNGELHOLM</t>
        </is>
      </c>
      <c r="G18" t="n">
        <v>0.8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Vanlig padda</t>
        </is>
      </c>
      <c r="S18">
        <f>HYPERLINK("https://klasma.github.io/Logging_1292/artfynd/A 50642-2023 artfynd.xlsx", "A 50642-2023")</f>
        <v/>
      </c>
      <c r="T18">
        <f>HYPERLINK("https://klasma.github.io/Logging_1292/kartor/A 50642-2023 karta.png", "A 50642-2023")</f>
        <v/>
      </c>
      <c r="V18">
        <f>HYPERLINK("https://klasma.github.io/Logging_1292/klagomål/A 50642-2023 FSC-klagomål.docx", "A 50642-2023")</f>
        <v/>
      </c>
      <c r="W18">
        <f>HYPERLINK("https://klasma.github.io/Logging_1292/klagomålsmail/A 50642-2023 FSC-klagomål mail.docx", "A 50642-2023")</f>
        <v/>
      </c>
      <c r="X18">
        <f>HYPERLINK("https://klasma.github.io/Logging_1292/tillsyn/A 50642-2023 tillsynsbegäran.docx", "A 50642-2023")</f>
        <v/>
      </c>
      <c r="Y18">
        <f>HYPERLINK("https://klasma.github.io/Logging_1292/tillsynsmail/A 50642-2023 tillsynsbegäran mail.docx", "A 50642-2023")</f>
        <v/>
      </c>
    </row>
    <row r="19" ht="15" customHeight="1">
      <c r="A19" t="inlineStr">
        <is>
          <t>A 50684-2023</t>
        </is>
      </c>
      <c r="B19" s="1" t="n">
        <v>45210</v>
      </c>
      <c r="C19" s="1" t="n">
        <v>46066</v>
      </c>
      <c r="D19" t="inlineStr">
        <is>
          <t>SKÅNE LÄN</t>
        </is>
      </c>
      <c r="E19" t="inlineStr">
        <is>
          <t>ÄNGELHOLM</t>
        </is>
      </c>
      <c r="G19" t="n">
        <v>1.6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Kopparödla</t>
        </is>
      </c>
      <c r="S19">
        <f>HYPERLINK("https://klasma.github.io/Logging_1292/artfynd/A 50684-2023 artfynd.xlsx", "A 50684-2023")</f>
        <v/>
      </c>
      <c r="T19">
        <f>HYPERLINK("https://klasma.github.io/Logging_1292/kartor/A 50684-2023 karta.png", "A 50684-2023")</f>
        <v/>
      </c>
      <c r="V19">
        <f>HYPERLINK("https://klasma.github.io/Logging_1292/klagomål/A 50684-2023 FSC-klagomål.docx", "A 50684-2023")</f>
        <v/>
      </c>
      <c r="W19">
        <f>HYPERLINK("https://klasma.github.io/Logging_1292/klagomålsmail/A 50684-2023 FSC-klagomål mail.docx", "A 50684-2023")</f>
        <v/>
      </c>
      <c r="X19">
        <f>HYPERLINK("https://klasma.github.io/Logging_1292/tillsyn/A 50684-2023 tillsynsbegäran.docx", "A 50684-2023")</f>
        <v/>
      </c>
      <c r="Y19">
        <f>HYPERLINK("https://klasma.github.io/Logging_1292/tillsynsmail/A 50684-2023 tillsynsbegäran mail.docx", "A 50684-2023")</f>
        <v/>
      </c>
    </row>
    <row r="20" ht="15" customHeight="1">
      <c r="A20" t="inlineStr">
        <is>
          <t>A 3317-2026</t>
        </is>
      </c>
      <c r="B20" s="1" t="n">
        <v>46041</v>
      </c>
      <c r="C20" s="1" t="n">
        <v>46066</v>
      </c>
      <c r="D20" t="inlineStr">
        <is>
          <t>SKÅNE LÄN</t>
        </is>
      </c>
      <c r="E20" t="inlineStr">
        <is>
          <t>ÄNGELHOLM</t>
        </is>
      </c>
      <c r="G20" t="n">
        <v>2.9</v>
      </c>
      <c r="H20" t="n">
        <v>1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Entita</t>
        </is>
      </c>
      <c r="S20">
        <f>HYPERLINK("https://klasma.github.io/Logging_1292/artfynd/A 3317-2026 artfynd.xlsx", "A 3317-2026")</f>
        <v/>
      </c>
      <c r="T20">
        <f>HYPERLINK("https://klasma.github.io/Logging_1292/kartor/A 3317-2026 karta.png", "A 3317-2026")</f>
        <v/>
      </c>
      <c r="V20">
        <f>HYPERLINK("https://klasma.github.io/Logging_1292/klagomål/A 3317-2026 FSC-klagomål.docx", "A 3317-2026")</f>
        <v/>
      </c>
      <c r="W20">
        <f>HYPERLINK("https://klasma.github.io/Logging_1292/klagomålsmail/A 3317-2026 FSC-klagomål mail.docx", "A 3317-2026")</f>
        <v/>
      </c>
      <c r="X20">
        <f>HYPERLINK("https://klasma.github.io/Logging_1292/tillsyn/A 3317-2026 tillsynsbegäran.docx", "A 3317-2026")</f>
        <v/>
      </c>
      <c r="Y20">
        <f>HYPERLINK("https://klasma.github.io/Logging_1292/tillsynsmail/A 3317-2026 tillsynsbegäran mail.docx", "A 3317-2026")</f>
        <v/>
      </c>
      <c r="Z20">
        <f>HYPERLINK("https://klasma.github.io/Logging_1292/fåglar/A 3317-2026 prioriterade fågelarter.docx", "A 3317-2026")</f>
        <v/>
      </c>
    </row>
    <row r="21" ht="15" customHeight="1">
      <c r="A21" t="inlineStr">
        <is>
          <t>A 7705-2025</t>
        </is>
      </c>
      <c r="B21" s="1" t="n">
        <v>45705</v>
      </c>
      <c r="C21" s="1" t="n">
        <v>46066</v>
      </c>
      <c r="D21" t="inlineStr">
        <is>
          <t>SKÅNE LÄN</t>
        </is>
      </c>
      <c r="E21" t="inlineStr">
        <is>
          <t>ÄNGELHOLM</t>
        </is>
      </c>
      <c r="G21" t="n">
        <v>7.1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Revlummer</t>
        </is>
      </c>
      <c r="S21">
        <f>HYPERLINK("https://klasma.github.io/Logging_1292/artfynd/A 7705-2025 artfynd.xlsx", "A 7705-2025")</f>
        <v/>
      </c>
      <c r="T21">
        <f>HYPERLINK("https://klasma.github.io/Logging_1292/kartor/A 7705-2025 karta.png", "A 7705-2025")</f>
        <v/>
      </c>
      <c r="V21">
        <f>HYPERLINK("https://klasma.github.io/Logging_1292/klagomål/A 7705-2025 FSC-klagomål.docx", "A 7705-2025")</f>
        <v/>
      </c>
      <c r="W21">
        <f>HYPERLINK("https://klasma.github.io/Logging_1292/klagomålsmail/A 7705-2025 FSC-klagomål mail.docx", "A 7705-2025")</f>
        <v/>
      </c>
      <c r="X21">
        <f>HYPERLINK("https://klasma.github.io/Logging_1292/tillsyn/A 7705-2025 tillsynsbegäran.docx", "A 7705-2025")</f>
        <v/>
      </c>
      <c r="Y21">
        <f>HYPERLINK("https://klasma.github.io/Logging_1292/tillsynsmail/A 7705-2025 tillsynsbegäran mail.docx", "A 7705-2025")</f>
        <v/>
      </c>
    </row>
    <row r="22" ht="15" customHeight="1">
      <c r="A22" t="inlineStr">
        <is>
          <t>A 74272-2021</t>
        </is>
      </c>
      <c r="B22" s="1" t="n">
        <v>44553</v>
      </c>
      <c r="C22" s="1" t="n">
        <v>46066</v>
      </c>
      <c r="D22" t="inlineStr">
        <is>
          <t>SKÅNE LÄN</t>
        </is>
      </c>
      <c r="E22" t="inlineStr">
        <is>
          <t>ÄNGELHOLM</t>
        </is>
      </c>
      <c r="G22" t="n">
        <v>5</v>
      </c>
      <c r="H22" t="n">
        <v>1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Entita</t>
        </is>
      </c>
      <c r="S22">
        <f>HYPERLINK("https://klasma.github.io/Logging_1292/artfynd/A 74272-2021 artfynd.xlsx", "A 74272-2021")</f>
        <v/>
      </c>
      <c r="T22">
        <f>HYPERLINK("https://klasma.github.io/Logging_1292/kartor/A 74272-2021 karta.png", "A 74272-2021")</f>
        <v/>
      </c>
      <c r="V22">
        <f>HYPERLINK("https://klasma.github.io/Logging_1292/klagomål/A 74272-2021 FSC-klagomål.docx", "A 74272-2021")</f>
        <v/>
      </c>
      <c r="W22">
        <f>HYPERLINK("https://klasma.github.io/Logging_1292/klagomålsmail/A 74272-2021 FSC-klagomål mail.docx", "A 74272-2021")</f>
        <v/>
      </c>
      <c r="X22">
        <f>HYPERLINK("https://klasma.github.io/Logging_1292/tillsyn/A 74272-2021 tillsynsbegäran.docx", "A 74272-2021")</f>
        <v/>
      </c>
      <c r="Y22">
        <f>HYPERLINK("https://klasma.github.io/Logging_1292/tillsynsmail/A 74272-2021 tillsynsbegäran mail.docx", "A 74272-2021")</f>
        <v/>
      </c>
      <c r="Z22">
        <f>HYPERLINK("https://klasma.github.io/Logging_1292/fåglar/A 74272-2021 prioriterade fågelarter.docx", "A 74272-2021")</f>
        <v/>
      </c>
    </row>
    <row r="23" ht="15" customHeight="1">
      <c r="A23" t="inlineStr">
        <is>
          <t>A 44060-2022</t>
        </is>
      </c>
      <c r="B23" s="1" t="n">
        <v>44839</v>
      </c>
      <c r="C23" s="1" t="n">
        <v>46066</v>
      </c>
      <c r="D23" t="inlineStr">
        <is>
          <t>SKÅNE LÄN</t>
        </is>
      </c>
      <c r="E23" t="inlineStr">
        <is>
          <t>ÄNGELHOLM</t>
        </is>
      </c>
      <c r="G23" t="n">
        <v>0.5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53742-2022</t>
        </is>
      </c>
      <c r="B24" s="1" t="n">
        <v>44880.43927083333</v>
      </c>
      <c r="C24" s="1" t="n">
        <v>46066</v>
      </c>
      <c r="D24" t="inlineStr">
        <is>
          <t>SKÅNE LÄN</t>
        </is>
      </c>
      <c r="E24" t="inlineStr">
        <is>
          <t>ÄNGELHOLM</t>
        </is>
      </c>
      <c r="G24" t="n">
        <v>0.5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44247-2022</t>
        </is>
      </c>
      <c r="B25" s="1" t="n">
        <v>44839.56018518518</v>
      </c>
      <c r="C25" s="1" t="n">
        <v>46066</v>
      </c>
      <c r="D25" t="inlineStr">
        <is>
          <t>SKÅNE LÄN</t>
        </is>
      </c>
      <c r="E25" t="inlineStr">
        <is>
          <t>ÄNGELHOLM</t>
        </is>
      </c>
      <c r="G25" t="n">
        <v>0.5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24233-2022</t>
        </is>
      </c>
      <c r="B26" s="1" t="n">
        <v>44725.65212962963</v>
      </c>
      <c r="C26" s="1" t="n">
        <v>46066</v>
      </c>
      <c r="D26" t="inlineStr">
        <is>
          <t>SKÅNE LÄN</t>
        </is>
      </c>
      <c r="E26" t="inlineStr">
        <is>
          <t>ÄNGELHOLM</t>
        </is>
      </c>
      <c r="G26" t="n">
        <v>1.5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44473-2022</t>
        </is>
      </c>
      <c r="B27" s="1" t="n">
        <v>44840.33121527778</v>
      </c>
      <c r="C27" s="1" t="n">
        <v>46066</v>
      </c>
      <c r="D27" t="inlineStr">
        <is>
          <t>SKÅNE LÄN</t>
        </is>
      </c>
      <c r="E27" t="inlineStr">
        <is>
          <t>ÄNGELHOLM</t>
        </is>
      </c>
      <c r="G27" t="n">
        <v>0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41769-2022</t>
        </is>
      </c>
      <c r="B28" s="1" t="n">
        <v>44827</v>
      </c>
      <c r="C28" s="1" t="n">
        <v>46066</v>
      </c>
      <c r="D28" t="inlineStr">
        <is>
          <t>SKÅNE LÄN</t>
        </is>
      </c>
      <c r="E28" t="inlineStr">
        <is>
          <t>ÄNGELHOLM</t>
        </is>
      </c>
      <c r="G28" t="n">
        <v>0.6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61263-2021</t>
        </is>
      </c>
      <c r="B29" s="1" t="n">
        <v>44498.5819212963</v>
      </c>
      <c r="C29" s="1" t="n">
        <v>46066</v>
      </c>
      <c r="D29" t="inlineStr">
        <is>
          <t>SKÅNE LÄN</t>
        </is>
      </c>
      <c r="E29" t="inlineStr">
        <is>
          <t>ÄNGELHOLM</t>
        </is>
      </c>
      <c r="G29" t="n">
        <v>1.1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61269-2021</t>
        </is>
      </c>
      <c r="B30" s="1" t="n">
        <v>44498.58678240741</v>
      </c>
      <c r="C30" s="1" t="n">
        <v>46066</v>
      </c>
      <c r="D30" t="inlineStr">
        <is>
          <t>SKÅNE LÄN</t>
        </is>
      </c>
      <c r="E30" t="inlineStr">
        <is>
          <t>ÄNGELHOLM</t>
        </is>
      </c>
      <c r="G30" t="n">
        <v>1.3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56094-2021</t>
        </is>
      </c>
      <c r="B31" s="1" t="n">
        <v>44477</v>
      </c>
      <c r="C31" s="1" t="n">
        <v>46066</v>
      </c>
      <c r="D31" t="inlineStr">
        <is>
          <t>SKÅNE LÄN</t>
        </is>
      </c>
      <c r="E31" t="inlineStr">
        <is>
          <t>ÄNGELHOLM</t>
        </is>
      </c>
      <c r="G31" t="n">
        <v>2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32735-2021</t>
        </is>
      </c>
      <c r="B32" s="1" t="n">
        <v>44375</v>
      </c>
      <c r="C32" s="1" t="n">
        <v>46066</v>
      </c>
      <c r="D32" t="inlineStr">
        <is>
          <t>SKÅNE LÄN</t>
        </is>
      </c>
      <c r="E32" t="inlineStr">
        <is>
          <t>ÄNGELHOLM</t>
        </is>
      </c>
      <c r="G32" t="n">
        <v>2.3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15046-2022</t>
        </is>
      </c>
      <c r="B33" s="1" t="n">
        <v>44657.63517361111</v>
      </c>
      <c r="C33" s="1" t="n">
        <v>46066</v>
      </c>
      <c r="D33" t="inlineStr">
        <is>
          <t>SKÅNE LÄN</t>
        </is>
      </c>
      <c r="E33" t="inlineStr">
        <is>
          <t>ÄNGELHOLM</t>
        </is>
      </c>
      <c r="G33" t="n">
        <v>0.7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11775-2022</t>
        </is>
      </c>
      <c r="B34" s="1" t="n">
        <v>44634.59737268519</v>
      </c>
      <c r="C34" s="1" t="n">
        <v>46066</v>
      </c>
      <c r="D34" t="inlineStr">
        <is>
          <t>SKÅNE LÄN</t>
        </is>
      </c>
      <c r="E34" t="inlineStr">
        <is>
          <t>ÄNGELHOLM</t>
        </is>
      </c>
      <c r="G34" t="n">
        <v>0.6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13873-2021</t>
        </is>
      </c>
      <c r="B35" s="1" t="n">
        <v>44277.39847222222</v>
      </c>
      <c r="C35" s="1" t="n">
        <v>46066</v>
      </c>
      <c r="D35" t="inlineStr">
        <is>
          <t>SKÅNE LÄN</t>
        </is>
      </c>
      <c r="E35" t="inlineStr">
        <is>
          <t>ÄNGELHOLM</t>
        </is>
      </c>
      <c r="G35" t="n">
        <v>1.2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24691-2021</t>
        </is>
      </c>
      <c r="B36" s="1" t="n">
        <v>44340</v>
      </c>
      <c r="C36" s="1" t="n">
        <v>46066</v>
      </c>
      <c r="D36" t="inlineStr">
        <is>
          <t>SKÅNE LÄN</t>
        </is>
      </c>
      <c r="E36" t="inlineStr">
        <is>
          <t>ÄNGELHOLM</t>
        </is>
      </c>
      <c r="G36" t="n">
        <v>3.4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36036-2022</t>
        </is>
      </c>
      <c r="B37" s="1" t="n">
        <v>44802</v>
      </c>
      <c r="C37" s="1" t="n">
        <v>46066</v>
      </c>
      <c r="D37" t="inlineStr">
        <is>
          <t>SKÅNE LÄN</t>
        </is>
      </c>
      <c r="E37" t="inlineStr">
        <is>
          <t>ÄNGELHOLM</t>
        </is>
      </c>
      <c r="G37" t="n">
        <v>0.6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36041-2022</t>
        </is>
      </c>
      <c r="B38" s="1" t="n">
        <v>44802.69045138889</v>
      </c>
      <c r="C38" s="1" t="n">
        <v>46066</v>
      </c>
      <c r="D38" t="inlineStr">
        <is>
          <t>SKÅNE LÄN</t>
        </is>
      </c>
      <c r="E38" t="inlineStr">
        <is>
          <t>ÄNGELHOLM</t>
        </is>
      </c>
      <c r="G38" t="n">
        <v>0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41725-2022</t>
        </is>
      </c>
      <c r="B39" s="1" t="n">
        <v>44827</v>
      </c>
      <c r="C39" s="1" t="n">
        <v>46066</v>
      </c>
      <c r="D39" t="inlineStr">
        <is>
          <t>SKÅNE LÄN</t>
        </is>
      </c>
      <c r="E39" t="inlineStr">
        <is>
          <t>ÄNGELHOLM</t>
        </is>
      </c>
      <c r="G39" t="n">
        <v>0.2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13876-2021</t>
        </is>
      </c>
      <c r="B40" s="1" t="n">
        <v>44277.40048611111</v>
      </c>
      <c r="C40" s="1" t="n">
        <v>46066</v>
      </c>
      <c r="D40" t="inlineStr">
        <is>
          <t>SKÅNE LÄN</t>
        </is>
      </c>
      <c r="E40" t="inlineStr">
        <is>
          <t>ÄNGELHOLM</t>
        </is>
      </c>
      <c r="G40" t="n">
        <v>0.6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56569-2021</t>
        </is>
      </c>
      <c r="B41" s="1" t="n">
        <v>44480</v>
      </c>
      <c r="C41" s="1" t="n">
        <v>46066</v>
      </c>
      <c r="D41" t="inlineStr">
        <is>
          <t>SKÅNE LÄN</t>
        </is>
      </c>
      <c r="E41" t="inlineStr">
        <is>
          <t>ÄNGELHOLM</t>
        </is>
      </c>
      <c r="G41" t="n">
        <v>2.4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11773-2022</t>
        </is>
      </c>
      <c r="B42" s="1" t="n">
        <v>44634.59633101852</v>
      </c>
      <c r="C42" s="1" t="n">
        <v>46066</v>
      </c>
      <c r="D42" t="inlineStr">
        <is>
          <t>SKÅNE LÄN</t>
        </is>
      </c>
      <c r="E42" t="inlineStr">
        <is>
          <t>ÄNGELHOLM</t>
        </is>
      </c>
      <c r="G42" t="n">
        <v>1.1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74214-2021</t>
        </is>
      </c>
      <c r="B43" s="1" t="n">
        <v>44553</v>
      </c>
      <c r="C43" s="1" t="n">
        <v>46066</v>
      </c>
      <c r="D43" t="inlineStr">
        <is>
          <t>SKÅNE LÄN</t>
        </is>
      </c>
      <c r="E43" t="inlineStr">
        <is>
          <t>ÄNGELHOLM</t>
        </is>
      </c>
      <c r="G43" t="n">
        <v>19.8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44062-2022</t>
        </is>
      </c>
      <c r="B44" s="1" t="n">
        <v>44839</v>
      </c>
      <c r="C44" s="1" t="n">
        <v>46066</v>
      </c>
      <c r="D44" t="inlineStr">
        <is>
          <t>SKÅNE LÄN</t>
        </is>
      </c>
      <c r="E44" t="inlineStr">
        <is>
          <t>ÄNGELHOLM</t>
        </is>
      </c>
      <c r="G44" t="n">
        <v>1.2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40275-2023</t>
        </is>
      </c>
      <c r="B45" s="1" t="n">
        <v>45169</v>
      </c>
      <c r="C45" s="1" t="n">
        <v>46066</v>
      </c>
      <c r="D45" t="inlineStr">
        <is>
          <t>SKÅNE LÄN</t>
        </is>
      </c>
      <c r="E45" t="inlineStr">
        <is>
          <t>ÄNGELHOLM</t>
        </is>
      </c>
      <c r="G45" t="n">
        <v>0.6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10454-2025</t>
        </is>
      </c>
      <c r="B46" s="1" t="n">
        <v>45720.7090625</v>
      </c>
      <c r="C46" s="1" t="n">
        <v>46066</v>
      </c>
      <c r="D46" t="inlineStr">
        <is>
          <t>SKÅNE LÄN</t>
        </is>
      </c>
      <c r="E46" t="inlineStr">
        <is>
          <t>ÄNGELHOLM</t>
        </is>
      </c>
      <c r="G46" t="n">
        <v>0.7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6667-2025</t>
        </is>
      </c>
      <c r="B47" s="1" t="n">
        <v>45700.46334490741</v>
      </c>
      <c r="C47" s="1" t="n">
        <v>46066</v>
      </c>
      <c r="D47" t="inlineStr">
        <is>
          <t>SKÅNE LÄN</t>
        </is>
      </c>
      <c r="E47" t="inlineStr">
        <is>
          <t>ÄNGELHOLM</t>
        </is>
      </c>
      <c r="G47" t="n">
        <v>0.5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27544-2024</t>
        </is>
      </c>
      <c r="B48" s="1" t="n">
        <v>45474</v>
      </c>
      <c r="C48" s="1" t="n">
        <v>46066</v>
      </c>
      <c r="D48" t="inlineStr">
        <is>
          <t>SKÅNE LÄN</t>
        </is>
      </c>
      <c r="E48" t="inlineStr">
        <is>
          <t>ÄNGELHOLM</t>
        </is>
      </c>
      <c r="G48" t="n">
        <v>3.2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46702-2024</t>
        </is>
      </c>
      <c r="B49" s="1" t="n">
        <v>45583</v>
      </c>
      <c r="C49" s="1" t="n">
        <v>46066</v>
      </c>
      <c r="D49" t="inlineStr">
        <is>
          <t>SKÅNE LÄN</t>
        </is>
      </c>
      <c r="E49" t="inlineStr">
        <is>
          <t>ÄNGELHOLM</t>
        </is>
      </c>
      <c r="G49" t="n">
        <v>1.2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5046-2022</t>
        </is>
      </c>
      <c r="B50" s="1" t="n">
        <v>44593.68116898148</v>
      </c>
      <c r="C50" s="1" t="n">
        <v>46066</v>
      </c>
      <c r="D50" t="inlineStr">
        <is>
          <t>SKÅNE LÄN</t>
        </is>
      </c>
      <c r="E50" t="inlineStr">
        <is>
          <t>ÄNGELHOLM</t>
        </is>
      </c>
      <c r="G50" t="n">
        <v>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31789-2023</t>
        </is>
      </c>
      <c r="B51" s="1" t="n">
        <v>45118</v>
      </c>
      <c r="C51" s="1" t="n">
        <v>46066</v>
      </c>
      <c r="D51" t="inlineStr">
        <is>
          <t>SKÅNE LÄN</t>
        </is>
      </c>
      <c r="E51" t="inlineStr">
        <is>
          <t>ÄNGELHOLM</t>
        </is>
      </c>
      <c r="G51" t="n">
        <v>1.1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1644-2025</t>
        </is>
      </c>
      <c r="B52" s="1" t="n">
        <v>45670</v>
      </c>
      <c r="C52" s="1" t="n">
        <v>46066</v>
      </c>
      <c r="D52" t="inlineStr">
        <is>
          <t>SKÅNE LÄN</t>
        </is>
      </c>
      <c r="E52" t="inlineStr">
        <is>
          <t>ÄNGELHOLM</t>
        </is>
      </c>
      <c r="G52" t="n">
        <v>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38848-2025</t>
        </is>
      </c>
      <c r="B53" s="1" t="n">
        <v>45887</v>
      </c>
      <c r="C53" s="1" t="n">
        <v>46066</v>
      </c>
      <c r="D53" t="inlineStr">
        <is>
          <t>SKÅNE LÄN</t>
        </is>
      </c>
      <c r="E53" t="inlineStr">
        <is>
          <t>ÄNGELHOLM</t>
        </is>
      </c>
      <c r="G53" t="n">
        <v>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55545-2022</t>
        </is>
      </c>
      <c r="B54" s="1" t="n">
        <v>44887</v>
      </c>
      <c r="C54" s="1" t="n">
        <v>46066</v>
      </c>
      <c r="D54" t="inlineStr">
        <is>
          <t>SKÅNE LÄN</t>
        </is>
      </c>
      <c r="E54" t="inlineStr">
        <is>
          <t>ÄNGELHOLM</t>
        </is>
      </c>
      <c r="G54" t="n">
        <v>4.4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7856-2026</t>
        </is>
      </c>
      <c r="B55" s="1" t="n">
        <v>46062.67539351852</v>
      </c>
      <c r="C55" s="1" t="n">
        <v>46066</v>
      </c>
      <c r="D55" t="inlineStr">
        <is>
          <t>SKÅNE LÄN</t>
        </is>
      </c>
      <c r="E55" t="inlineStr">
        <is>
          <t>ÄNGELHOLM</t>
        </is>
      </c>
      <c r="G55" t="n">
        <v>1.5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7859-2026</t>
        </is>
      </c>
      <c r="B56" s="1" t="n">
        <v>46062.68539351852</v>
      </c>
      <c r="C56" s="1" t="n">
        <v>46066</v>
      </c>
      <c r="D56" t="inlineStr">
        <is>
          <t>SKÅNE LÄN</t>
        </is>
      </c>
      <c r="E56" t="inlineStr">
        <is>
          <t>ÄNGELHOLM</t>
        </is>
      </c>
      <c r="G56" t="n">
        <v>1.5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64728-2023</t>
        </is>
      </c>
      <c r="B57" s="1" t="n">
        <v>45281</v>
      </c>
      <c r="C57" s="1" t="n">
        <v>46066</v>
      </c>
      <c r="D57" t="inlineStr">
        <is>
          <t>SKÅNE LÄN</t>
        </is>
      </c>
      <c r="E57" t="inlineStr">
        <is>
          <t>ÄNGELHOLM</t>
        </is>
      </c>
      <c r="G57" t="n">
        <v>1.8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25669-2024</t>
        </is>
      </c>
      <c r="B58" s="1" t="n">
        <v>45463.71800925926</v>
      </c>
      <c r="C58" s="1" t="n">
        <v>46066</v>
      </c>
      <c r="D58" t="inlineStr">
        <is>
          <t>SKÅNE LÄN</t>
        </is>
      </c>
      <c r="E58" t="inlineStr">
        <is>
          <t>ÄNGELHOLM</t>
        </is>
      </c>
      <c r="G58" t="n">
        <v>17.9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46487-2024</t>
        </is>
      </c>
      <c r="B59" s="1" t="n">
        <v>45582</v>
      </c>
      <c r="C59" s="1" t="n">
        <v>46066</v>
      </c>
      <c r="D59" t="inlineStr">
        <is>
          <t>SKÅNE LÄN</t>
        </is>
      </c>
      <c r="E59" t="inlineStr">
        <is>
          <t>ÄNGELHOLM</t>
        </is>
      </c>
      <c r="G59" t="n">
        <v>5.8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23676-2024</t>
        </is>
      </c>
      <c r="B60" s="1" t="n">
        <v>45454.61513888889</v>
      </c>
      <c r="C60" s="1" t="n">
        <v>46066</v>
      </c>
      <c r="D60" t="inlineStr">
        <is>
          <t>SKÅNE LÄN</t>
        </is>
      </c>
      <c r="E60" t="inlineStr">
        <is>
          <t>ÄNGELHOLM</t>
        </is>
      </c>
      <c r="G60" t="n">
        <v>0.9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55529-2024</t>
        </is>
      </c>
      <c r="B61" s="1" t="n">
        <v>45622.48444444445</v>
      </c>
      <c r="C61" s="1" t="n">
        <v>46066</v>
      </c>
      <c r="D61" t="inlineStr">
        <is>
          <t>SKÅNE LÄN</t>
        </is>
      </c>
      <c r="E61" t="inlineStr">
        <is>
          <t>ÄNGELHOLM</t>
        </is>
      </c>
      <c r="G61" t="n">
        <v>2.2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39810-2025</t>
        </is>
      </c>
      <c r="B62" s="1" t="n">
        <v>45891.5194675926</v>
      </c>
      <c r="C62" s="1" t="n">
        <v>46066</v>
      </c>
      <c r="D62" t="inlineStr">
        <is>
          <t>SKÅNE LÄN</t>
        </is>
      </c>
      <c r="E62" t="inlineStr">
        <is>
          <t>ÄNGELHOLM</t>
        </is>
      </c>
      <c r="G62" t="n">
        <v>1.2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40287-2025</t>
        </is>
      </c>
      <c r="B63" s="1" t="n">
        <v>45895</v>
      </c>
      <c r="C63" s="1" t="n">
        <v>46066</v>
      </c>
      <c r="D63" t="inlineStr">
        <is>
          <t>SKÅNE LÄN</t>
        </is>
      </c>
      <c r="E63" t="inlineStr">
        <is>
          <t>ÄNGELHOLM</t>
        </is>
      </c>
      <c r="G63" t="n">
        <v>0.5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8139-2025</t>
        </is>
      </c>
      <c r="B64" s="1" t="n">
        <v>45708.2620949074</v>
      </c>
      <c r="C64" s="1" t="n">
        <v>46066</v>
      </c>
      <c r="D64" t="inlineStr">
        <is>
          <t>SKÅNE LÄN</t>
        </is>
      </c>
      <c r="E64" t="inlineStr">
        <is>
          <t>ÄNGELHOLM</t>
        </is>
      </c>
      <c r="G64" t="n">
        <v>3.5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32020-2025</t>
        </is>
      </c>
      <c r="B65" s="1" t="n">
        <v>45835.4065625</v>
      </c>
      <c r="C65" s="1" t="n">
        <v>46066</v>
      </c>
      <c r="D65" t="inlineStr">
        <is>
          <t>SKÅNE LÄN</t>
        </is>
      </c>
      <c r="E65" t="inlineStr">
        <is>
          <t>ÄNGELHOLM</t>
        </is>
      </c>
      <c r="G65" t="n">
        <v>0.7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44448-2023</t>
        </is>
      </c>
      <c r="B66" s="1" t="n">
        <v>45189</v>
      </c>
      <c r="C66" s="1" t="n">
        <v>46066</v>
      </c>
      <c r="D66" t="inlineStr">
        <is>
          <t>SKÅNE LÄN</t>
        </is>
      </c>
      <c r="E66" t="inlineStr">
        <is>
          <t>ÄNGELHOLM</t>
        </is>
      </c>
      <c r="G66" t="n">
        <v>0.6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41166-2025</t>
        </is>
      </c>
      <c r="B67" s="1" t="n">
        <v>45898</v>
      </c>
      <c r="C67" s="1" t="n">
        <v>46066</v>
      </c>
      <c r="D67" t="inlineStr">
        <is>
          <t>SKÅNE LÄN</t>
        </is>
      </c>
      <c r="E67" t="inlineStr">
        <is>
          <t>ÄNGELHOLM</t>
        </is>
      </c>
      <c r="G67" t="n">
        <v>0.8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31143-2024</t>
        </is>
      </c>
      <c r="B68" s="1" t="n">
        <v>45502</v>
      </c>
      <c r="C68" s="1" t="n">
        <v>46066</v>
      </c>
      <c r="D68" t="inlineStr">
        <is>
          <t>SKÅNE LÄN</t>
        </is>
      </c>
      <c r="E68" t="inlineStr">
        <is>
          <t>ÄNGELHOLM</t>
        </is>
      </c>
      <c r="G68" t="n">
        <v>0.6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23328-2022</t>
        </is>
      </c>
      <c r="B69" s="1" t="n">
        <v>44720.50751157408</v>
      </c>
      <c r="C69" s="1" t="n">
        <v>46066</v>
      </c>
      <c r="D69" t="inlineStr">
        <is>
          <t>SKÅNE LÄN</t>
        </is>
      </c>
      <c r="E69" t="inlineStr">
        <is>
          <t>ÄNGELHOLM</t>
        </is>
      </c>
      <c r="G69" t="n">
        <v>1.1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13662-2025</t>
        </is>
      </c>
      <c r="B70" s="1" t="n">
        <v>45736.77020833334</v>
      </c>
      <c r="C70" s="1" t="n">
        <v>46066</v>
      </c>
      <c r="D70" t="inlineStr">
        <is>
          <t>SKÅNE LÄN</t>
        </is>
      </c>
      <c r="E70" t="inlineStr">
        <is>
          <t>ÄNGELHOLM</t>
        </is>
      </c>
      <c r="G70" t="n">
        <v>6.4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15154-2023</t>
        </is>
      </c>
      <c r="B71" s="1" t="n">
        <v>45016</v>
      </c>
      <c r="C71" s="1" t="n">
        <v>46066</v>
      </c>
      <c r="D71" t="inlineStr">
        <is>
          <t>SKÅNE LÄN</t>
        </is>
      </c>
      <c r="E71" t="inlineStr">
        <is>
          <t>ÄNGELHOLM</t>
        </is>
      </c>
      <c r="G71" t="n">
        <v>3.5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46286-2024</t>
        </is>
      </c>
      <c r="B72" s="1" t="n">
        <v>45581</v>
      </c>
      <c r="C72" s="1" t="n">
        <v>46066</v>
      </c>
      <c r="D72" t="inlineStr">
        <is>
          <t>SKÅNE LÄN</t>
        </is>
      </c>
      <c r="E72" t="inlineStr">
        <is>
          <t>ÄNGELHOLM</t>
        </is>
      </c>
      <c r="G72" t="n">
        <v>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55544-2022</t>
        </is>
      </c>
      <c r="B73" s="1" t="n">
        <v>44887</v>
      </c>
      <c r="C73" s="1" t="n">
        <v>46066</v>
      </c>
      <c r="D73" t="inlineStr">
        <is>
          <t>SKÅNE LÄN</t>
        </is>
      </c>
      <c r="E73" t="inlineStr">
        <is>
          <t>ÄNGELHOLM</t>
        </is>
      </c>
      <c r="G73" t="n">
        <v>1.1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7337-2024</t>
        </is>
      </c>
      <c r="B74" s="1" t="n">
        <v>45345</v>
      </c>
      <c r="C74" s="1" t="n">
        <v>46066</v>
      </c>
      <c r="D74" t="inlineStr">
        <is>
          <t>SKÅNE LÄN</t>
        </is>
      </c>
      <c r="E74" t="inlineStr">
        <is>
          <t>ÄNGELHOLM</t>
        </is>
      </c>
      <c r="G74" t="n">
        <v>2.6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42826-2025</t>
        </is>
      </c>
      <c r="B75" s="1" t="n">
        <v>45908.57619212963</v>
      </c>
      <c r="C75" s="1" t="n">
        <v>46066</v>
      </c>
      <c r="D75" t="inlineStr">
        <is>
          <t>SKÅNE LÄN</t>
        </is>
      </c>
      <c r="E75" t="inlineStr">
        <is>
          <t>ÄNGELHOLM</t>
        </is>
      </c>
      <c r="G75" t="n">
        <v>2.1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49610-2024</t>
        </is>
      </c>
      <c r="B76" s="1" t="n">
        <v>45596</v>
      </c>
      <c r="C76" s="1" t="n">
        <v>46066</v>
      </c>
      <c r="D76" t="inlineStr">
        <is>
          <t>SKÅNE LÄN</t>
        </is>
      </c>
      <c r="E76" t="inlineStr">
        <is>
          <t>ÄNGELHOLM</t>
        </is>
      </c>
      <c r="G76" t="n">
        <v>6.4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13235-2025</t>
        </is>
      </c>
      <c r="B77" s="1" t="n">
        <v>45735</v>
      </c>
      <c r="C77" s="1" t="n">
        <v>46066</v>
      </c>
      <c r="D77" t="inlineStr">
        <is>
          <t>SKÅNE LÄN</t>
        </is>
      </c>
      <c r="E77" t="inlineStr">
        <is>
          <t>ÄNGELHOLM</t>
        </is>
      </c>
      <c r="G77" t="n">
        <v>0.6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13243-2025</t>
        </is>
      </c>
      <c r="B78" s="1" t="n">
        <v>45735</v>
      </c>
      <c r="C78" s="1" t="n">
        <v>46066</v>
      </c>
      <c r="D78" t="inlineStr">
        <is>
          <t>SKÅNE LÄN</t>
        </is>
      </c>
      <c r="E78" t="inlineStr">
        <is>
          <t>ÄNGELHOLM</t>
        </is>
      </c>
      <c r="G78" t="n">
        <v>0.5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49885-2022</t>
        </is>
      </c>
      <c r="B79" s="1" t="n">
        <v>44864</v>
      </c>
      <c r="C79" s="1" t="n">
        <v>46066</v>
      </c>
      <c r="D79" t="inlineStr">
        <is>
          <t>SKÅNE LÄN</t>
        </is>
      </c>
      <c r="E79" t="inlineStr">
        <is>
          <t>ÄNGELHOLM</t>
        </is>
      </c>
      <c r="G79" t="n">
        <v>1.4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4088-2024</t>
        </is>
      </c>
      <c r="B80" s="1" t="n">
        <v>45323</v>
      </c>
      <c r="C80" s="1" t="n">
        <v>46066</v>
      </c>
      <c r="D80" t="inlineStr">
        <is>
          <t>SKÅNE LÄN</t>
        </is>
      </c>
      <c r="E80" t="inlineStr">
        <is>
          <t>ÄNGELHOLM</t>
        </is>
      </c>
      <c r="G80" t="n">
        <v>3.8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43857-2025</t>
        </is>
      </c>
      <c r="B81" s="1" t="n">
        <v>45912.64872685185</v>
      </c>
      <c r="C81" s="1" t="n">
        <v>46066</v>
      </c>
      <c r="D81" t="inlineStr">
        <is>
          <t>SKÅNE LÄN</t>
        </is>
      </c>
      <c r="E81" t="inlineStr">
        <is>
          <t>ÄNGELHOLM</t>
        </is>
      </c>
      <c r="G81" t="n">
        <v>1.1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38028-2025</t>
        </is>
      </c>
      <c r="B82" s="1" t="n">
        <v>45882.3615625</v>
      </c>
      <c r="C82" s="1" t="n">
        <v>46066</v>
      </c>
      <c r="D82" t="inlineStr">
        <is>
          <t>SKÅNE LÄN</t>
        </is>
      </c>
      <c r="E82" t="inlineStr">
        <is>
          <t>ÄNGELHOLM</t>
        </is>
      </c>
      <c r="G82" t="n">
        <v>1.9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44012-2025</t>
        </is>
      </c>
      <c r="B83" s="1" t="n">
        <v>45915</v>
      </c>
      <c r="C83" s="1" t="n">
        <v>46066</v>
      </c>
      <c r="D83" t="inlineStr">
        <is>
          <t>SKÅNE LÄN</t>
        </is>
      </c>
      <c r="E83" t="inlineStr">
        <is>
          <t>ÄNGELHOLM</t>
        </is>
      </c>
      <c r="G83" t="n">
        <v>5.4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7811-2023</t>
        </is>
      </c>
      <c r="B84" s="1" t="n">
        <v>44973</v>
      </c>
      <c r="C84" s="1" t="n">
        <v>46066</v>
      </c>
      <c r="D84" t="inlineStr">
        <is>
          <t>SKÅNE LÄN</t>
        </is>
      </c>
      <c r="E84" t="inlineStr">
        <is>
          <t>ÄNGELHOLM</t>
        </is>
      </c>
      <c r="G84" t="n">
        <v>0.9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58137-2022</t>
        </is>
      </c>
      <c r="B85" s="1" t="n">
        <v>44900.69418981481</v>
      </c>
      <c r="C85" s="1" t="n">
        <v>46066</v>
      </c>
      <c r="D85" t="inlineStr">
        <is>
          <t>SKÅNE LÄN</t>
        </is>
      </c>
      <c r="E85" t="inlineStr">
        <is>
          <t>ÄNGELHOLM</t>
        </is>
      </c>
      <c r="G85" t="n">
        <v>0.9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42105-2022</t>
        </is>
      </c>
      <c r="B86" s="1" t="n">
        <v>44830.55204861111</v>
      </c>
      <c r="C86" s="1" t="n">
        <v>46066</v>
      </c>
      <c r="D86" t="inlineStr">
        <is>
          <t>SKÅNE LÄN</t>
        </is>
      </c>
      <c r="E86" t="inlineStr">
        <is>
          <t>ÄNGELHOLM</t>
        </is>
      </c>
      <c r="G86" t="n">
        <v>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50652-2023</t>
        </is>
      </c>
      <c r="B87" s="1" t="n">
        <v>45210</v>
      </c>
      <c r="C87" s="1" t="n">
        <v>46066</v>
      </c>
      <c r="D87" t="inlineStr">
        <is>
          <t>SKÅNE LÄN</t>
        </is>
      </c>
      <c r="E87" t="inlineStr">
        <is>
          <t>ÄNGELHOLM</t>
        </is>
      </c>
      <c r="G87" t="n">
        <v>2.4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24855-2024</t>
        </is>
      </c>
      <c r="B88" s="1" t="n">
        <v>45461.46796296296</v>
      </c>
      <c r="C88" s="1" t="n">
        <v>46066</v>
      </c>
      <c r="D88" t="inlineStr">
        <is>
          <t>SKÅNE LÄN</t>
        </is>
      </c>
      <c r="E88" t="inlineStr">
        <is>
          <t>ÄNGELHOLM</t>
        </is>
      </c>
      <c r="G88" t="n">
        <v>2.4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38856-2025</t>
        </is>
      </c>
      <c r="B89" s="1" t="n">
        <v>45887</v>
      </c>
      <c r="C89" s="1" t="n">
        <v>46066</v>
      </c>
      <c r="D89" t="inlineStr">
        <is>
          <t>SKÅNE LÄN</t>
        </is>
      </c>
      <c r="E89" t="inlineStr">
        <is>
          <t>ÄNGELHOLM</t>
        </is>
      </c>
      <c r="G89" t="n">
        <v>0.8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25129-2024</t>
        </is>
      </c>
      <c r="B90" s="1" t="n">
        <v>45462.46355324074</v>
      </c>
      <c r="C90" s="1" t="n">
        <v>46066</v>
      </c>
      <c r="D90" t="inlineStr">
        <is>
          <t>SKÅNE LÄN</t>
        </is>
      </c>
      <c r="E90" t="inlineStr">
        <is>
          <t>ÄNGELHOLM</t>
        </is>
      </c>
      <c r="G90" t="n">
        <v>4.6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46712-2025</t>
        </is>
      </c>
      <c r="B91" s="1" t="n">
        <v>45926.57591435185</v>
      </c>
      <c r="C91" s="1" t="n">
        <v>46066</v>
      </c>
      <c r="D91" t="inlineStr">
        <is>
          <t>SKÅNE LÄN</t>
        </is>
      </c>
      <c r="E91" t="inlineStr">
        <is>
          <t>ÄNGELHOLM</t>
        </is>
      </c>
      <c r="G91" t="n">
        <v>1.2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47116-2025</t>
        </is>
      </c>
      <c r="B92" s="1" t="n">
        <v>45929.67606481481</v>
      </c>
      <c r="C92" s="1" t="n">
        <v>46066</v>
      </c>
      <c r="D92" t="inlineStr">
        <is>
          <t>SKÅNE LÄN</t>
        </is>
      </c>
      <c r="E92" t="inlineStr">
        <is>
          <t>ÄNGELHOLM</t>
        </is>
      </c>
      <c r="G92" t="n">
        <v>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4755-2024</t>
        </is>
      </c>
      <c r="B93" s="1" t="n">
        <v>45328.66599537037</v>
      </c>
      <c r="C93" s="1" t="n">
        <v>46066</v>
      </c>
      <c r="D93" t="inlineStr">
        <is>
          <t>SKÅNE LÄN</t>
        </is>
      </c>
      <c r="E93" t="inlineStr">
        <is>
          <t>ÄNGELHOLM</t>
        </is>
      </c>
      <c r="G93" t="n">
        <v>0.9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14400-2023</t>
        </is>
      </c>
      <c r="B94" s="1" t="n">
        <v>45012</v>
      </c>
      <c r="C94" s="1" t="n">
        <v>46066</v>
      </c>
      <c r="D94" t="inlineStr">
        <is>
          <t>SKÅNE LÄN</t>
        </is>
      </c>
      <c r="E94" t="inlineStr">
        <is>
          <t>ÄNGELHOLM</t>
        </is>
      </c>
      <c r="G94" t="n">
        <v>1.7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7707-2025</t>
        </is>
      </c>
      <c r="B95" s="1" t="n">
        <v>45705</v>
      </c>
      <c r="C95" s="1" t="n">
        <v>46066</v>
      </c>
      <c r="D95" t="inlineStr">
        <is>
          <t>SKÅNE LÄN</t>
        </is>
      </c>
      <c r="E95" t="inlineStr">
        <is>
          <t>ÄNGELHOLM</t>
        </is>
      </c>
      <c r="G95" t="n">
        <v>1.2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47176-2025</t>
        </is>
      </c>
      <c r="B96" s="1" t="n">
        <v>45930</v>
      </c>
      <c r="C96" s="1" t="n">
        <v>46066</v>
      </c>
      <c r="D96" t="inlineStr">
        <is>
          <t>SKÅNE LÄN</t>
        </is>
      </c>
      <c r="E96" t="inlineStr">
        <is>
          <t>ÄNGELHOLM</t>
        </is>
      </c>
      <c r="G96" t="n">
        <v>1.3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23227-2023</t>
        </is>
      </c>
      <c r="B97" s="1" t="n">
        <v>45075</v>
      </c>
      <c r="C97" s="1" t="n">
        <v>46066</v>
      </c>
      <c r="D97" t="inlineStr">
        <is>
          <t>SKÅNE LÄN</t>
        </is>
      </c>
      <c r="E97" t="inlineStr">
        <is>
          <t>ÄNGELHOLM</t>
        </is>
      </c>
      <c r="G97" t="n">
        <v>1.1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9578-2025</t>
        </is>
      </c>
      <c r="B98" s="1" t="n">
        <v>45715.62634259259</v>
      </c>
      <c r="C98" s="1" t="n">
        <v>46066</v>
      </c>
      <c r="D98" t="inlineStr">
        <is>
          <t>SKÅNE LÄN</t>
        </is>
      </c>
      <c r="E98" t="inlineStr">
        <is>
          <t>ÄNGELHOLM</t>
        </is>
      </c>
      <c r="G98" t="n">
        <v>0.5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8882-2025</t>
        </is>
      </c>
      <c r="B99" s="1" t="n">
        <v>45713</v>
      </c>
      <c r="C99" s="1" t="n">
        <v>46066</v>
      </c>
      <c r="D99" t="inlineStr">
        <is>
          <t>SKÅNE LÄN</t>
        </is>
      </c>
      <c r="E99" t="inlineStr">
        <is>
          <t>ÄNGELHOLM</t>
        </is>
      </c>
      <c r="G99" t="n">
        <v>2.3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52519-2025</t>
        </is>
      </c>
      <c r="B100" s="1" t="n">
        <v>45954.51563657408</v>
      </c>
      <c r="C100" s="1" t="n">
        <v>46066</v>
      </c>
      <c r="D100" t="inlineStr">
        <is>
          <t>SKÅNE LÄN</t>
        </is>
      </c>
      <c r="E100" t="inlineStr">
        <is>
          <t>ÄNGELHOLM</t>
        </is>
      </c>
      <c r="G100" t="n">
        <v>0.7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12150-2024</t>
        </is>
      </c>
      <c r="B101" s="1" t="n">
        <v>45377</v>
      </c>
      <c r="C101" s="1" t="n">
        <v>46066</v>
      </c>
      <c r="D101" t="inlineStr">
        <is>
          <t>SKÅNE LÄN</t>
        </is>
      </c>
      <c r="E101" t="inlineStr">
        <is>
          <t>ÄNGELHOLM</t>
        </is>
      </c>
      <c r="G101" t="n">
        <v>1.4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3565-2025</t>
        </is>
      </c>
      <c r="B102" s="1" t="n">
        <v>45680.68038194445</v>
      </c>
      <c r="C102" s="1" t="n">
        <v>46066</v>
      </c>
      <c r="D102" t="inlineStr">
        <is>
          <t>SKÅNE LÄN</t>
        </is>
      </c>
      <c r="E102" t="inlineStr">
        <is>
          <t>ÄNGELHOLM</t>
        </is>
      </c>
      <c r="G102" t="n">
        <v>1.9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18571-2025</t>
        </is>
      </c>
      <c r="B103" s="1" t="n">
        <v>45763</v>
      </c>
      <c r="C103" s="1" t="n">
        <v>46066</v>
      </c>
      <c r="D103" t="inlineStr">
        <is>
          <t>SKÅNE LÄN</t>
        </is>
      </c>
      <c r="E103" t="inlineStr">
        <is>
          <t>ÄNGELHOLM</t>
        </is>
      </c>
      <c r="G103" t="n">
        <v>0.9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16419-2023</t>
        </is>
      </c>
      <c r="B104" s="1" t="n">
        <v>45022</v>
      </c>
      <c r="C104" s="1" t="n">
        <v>46066</v>
      </c>
      <c r="D104" t="inlineStr">
        <is>
          <t>SKÅNE LÄN</t>
        </is>
      </c>
      <c r="E104" t="inlineStr">
        <is>
          <t>ÄNGELHOLM</t>
        </is>
      </c>
      <c r="G104" t="n">
        <v>4.2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27551-2023</t>
        </is>
      </c>
      <c r="B105" s="1" t="n">
        <v>45097</v>
      </c>
      <c r="C105" s="1" t="n">
        <v>46066</v>
      </c>
      <c r="D105" t="inlineStr">
        <is>
          <t>SKÅNE LÄN</t>
        </is>
      </c>
      <c r="E105" t="inlineStr">
        <is>
          <t>ÄNGELHOLM</t>
        </is>
      </c>
      <c r="G105" t="n">
        <v>0.6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2575-2024</t>
        </is>
      </c>
      <c r="B106" s="1" t="n">
        <v>45313.63804398148</v>
      </c>
      <c r="C106" s="1" t="n">
        <v>46066</v>
      </c>
      <c r="D106" t="inlineStr">
        <is>
          <t>SKÅNE LÄN</t>
        </is>
      </c>
      <c r="E106" t="inlineStr">
        <is>
          <t>ÄNGELHOLM</t>
        </is>
      </c>
      <c r="G106" t="n">
        <v>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4089-2024</t>
        </is>
      </c>
      <c r="B107" s="1" t="n">
        <v>45323</v>
      </c>
      <c r="C107" s="1" t="n">
        <v>46066</v>
      </c>
      <c r="D107" t="inlineStr">
        <is>
          <t>SKÅNE LÄN</t>
        </is>
      </c>
      <c r="E107" t="inlineStr">
        <is>
          <t>ÄNGELHOLM</t>
        </is>
      </c>
      <c r="G107" t="n">
        <v>0.7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55728-2025</t>
        </is>
      </c>
      <c r="B108" s="1" t="n">
        <v>45972</v>
      </c>
      <c r="C108" s="1" t="n">
        <v>46066</v>
      </c>
      <c r="D108" t="inlineStr">
        <is>
          <t>SKÅNE LÄN</t>
        </is>
      </c>
      <c r="E108" t="inlineStr">
        <is>
          <t>ÄNGELHOLM</t>
        </is>
      </c>
      <c r="G108" t="n">
        <v>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55707-2025</t>
        </is>
      </c>
      <c r="B109" s="1" t="n">
        <v>45972</v>
      </c>
      <c r="C109" s="1" t="n">
        <v>46066</v>
      </c>
      <c r="D109" t="inlineStr">
        <is>
          <t>SKÅNE LÄN</t>
        </is>
      </c>
      <c r="E109" t="inlineStr">
        <is>
          <t>ÄNGELHOLM</t>
        </is>
      </c>
      <c r="G109" t="n">
        <v>1.1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28496-2023</t>
        </is>
      </c>
      <c r="B110" s="1" t="n">
        <v>45103.45262731481</v>
      </c>
      <c r="C110" s="1" t="n">
        <v>46066</v>
      </c>
      <c r="D110" t="inlineStr">
        <is>
          <t>SKÅNE LÄN</t>
        </is>
      </c>
      <c r="E110" t="inlineStr">
        <is>
          <t>ÄNGELHOLM</t>
        </is>
      </c>
      <c r="G110" t="n">
        <v>1.8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1299-2024</t>
        </is>
      </c>
      <c r="B111" s="1" t="n">
        <v>45303</v>
      </c>
      <c r="C111" s="1" t="n">
        <v>46066</v>
      </c>
      <c r="D111" t="inlineStr">
        <is>
          <t>SKÅNE LÄN</t>
        </is>
      </c>
      <c r="E111" t="inlineStr">
        <is>
          <t>ÄNGELHOLM</t>
        </is>
      </c>
      <c r="G111" t="n">
        <v>0.5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32364-2023</t>
        </is>
      </c>
      <c r="B112" s="1" t="n">
        <v>45120.56152777778</v>
      </c>
      <c r="C112" s="1" t="n">
        <v>46066</v>
      </c>
      <c r="D112" t="inlineStr">
        <is>
          <t>SKÅNE LÄN</t>
        </is>
      </c>
      <c r="E112" t="inlineStr">
        <is>
          <t>ÄNGELHOLM</t>
        </is>
      </c>
      <c r="G112" t="n">
        <v>0.6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58134-2022</t>
        </is>
      </c>
      <c r="B113" s="1" t="n">
        <v>44900.69137731481</v>
      </c>
      <c r="C113" s="1" t="n">
        <v>46066</v>
      </c>
      <c r="D113" t="inlineStr">
        <is>
          <t>SKÅNE LÄN</t>
        </is>
      </c>
      <c r="E113" t="inlineStr">
        <is>
          <t>ÄNGELHOLM</t>
        </is>
      </c>
      <c r="G113" t="n">
        <v>1.2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57725-2025</t>
        </is>
      </c>
      <c r="B114" s="1" t="n">
        <v>45981</v>
      </c>
      <c r="C114" s="1" t="n">
        <v>46066</v>
      </c>
      <c r="D114" t="inlineStr">
        <is>
          <t>SKÅNE LÄN</t>
        </is>
      </c>
      <c r="E114" t="inlineStr">
        <is>
          <t>ÄNGELHOLM</t>
        </is>
      </c>
      <c r="G114" t="n">
        <v>2.1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31503-2023</t>
        </is>
      </c>
      <c r="B115" s="1" t="n">
        <v>45115</v>
      </c>
      <c r="C115" s="1" t="n">
        <v>46066</v>
      </c>
      <c r="D115" t="inlineStr">
        <is>
          <t>SKÅNE LÄN</t>
        </is>
      </c>
      <c r="E115" t="inlineStr">
        <is>
          <t>ÄNGELHOLM</t>
        </is>
      </c>
      <c r="G115" t="n">
        <v>1.9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39014-2023</t>
        </is>
      </c>
      <c r="B116" s="1" t="n">
        <v>45163</v>
      </c>
      <c r="C116" s="1" t="n">
        <v>46066</v>
      </c>
      <c r="D116" t="inlineStr">
        <is>
          <t>SKÅNE LÄN</t>
        </is>
      </c>
      <c r="E116" t="inlineStr">
        <is>
          <t>ÄNGELHOLM</t>
        </is>
      </c>
      <c r="G116" t="n">
        <v>1.9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31908-2023</t>
        </is>
      </c>
      <c r="B117" s="1" t="n">
        <v>45118</v>
      </c>
      <c r="C117" s="1" t="n">
        <v>46066</v>
      </c>
      <c r="D117" t="inlineStr">
        <is>
          <t>SKÅNE LÄN</t>
        </is>
      </c>
      <c r="E117" t="inlineStr">
        <is>
          <t>ÄNGELHOLM</t>
        </is>
      </c>
      <c r="G117" t="n">
        <v>1.5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31502-2023</t>
        </is>
      </c>
      <c r="B118" s="1" t="n">
        <v>45115</v>
      </c>
      <c r="C118" s="1" t="n">
        <v>46066</v>
      </c>
      <c r="D118" t="inlineStr">
        <is>
          <t>SKÅNE LÄN</t>
        </is>
      </c>
      <c r="E118" t="inlineStr">
        <is>
          <t>ÄNGELHOLM</t>
        </is>
      </c>
      <c r="G118" t="n">
        <v>0.7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28253-2023</t>
        </is>
      </c>
      <c r="B119" s="1" t="n">
        <v>45099</v>
      </c>
      <c r="C119" s="1" t="n">
        <v>46066</v>
      </c>
      <c r="D119" t="inlineStr">
        <is>
          <t>SKÅNE LÄN</t>
        </is>
      </c>
      <c r="E119" t="inlineStr">
        <is>
          <t>ÄNGELHOLM</t>
        </is>
      </c>
      <c r="G119" t="n">
        <v>2.7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2505-2026</t>
        </is>
      </c>
      <c r="B120" s="1" t="n">
        <v>46037.41112268518</v>
      </c>
      <c r="C120" s="1" t="n">
        <v>46066</v>
      </c>
      <c r="D120" t="inlineStr">
        <is>
          <t>SKÅNE LÄN</t>
        </is>
      </c>
      <c r="E120" t="inlineStr">
        <is>
          <t>ÄNGELHOLM</t>
        </is>
      </c>
      <c r="G120" t="n">
        <v>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21488-2023</t>
        </is>
      </c>
      <c r="B121" s="1" t="n">
        <v>45061</v>
      </c>
      <c r="C121" s="1" t="n">
        <v>46066</v>
      </c>
      <c r="D121" t="inlineStr">
        <is>
          <t>SKÅNE LÄN</t>
        </is>
      </c>
      <c r="E121" t="inlineStr">
        <is>
          <t>ÄNGELHOLM</t>
        </is>
      </c>
      <c r="G121" t="n">
        <v>1.1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7994-2023</t>
        </is>
      </c>
      <c r="B122" s="1" t="n">
        <v>44973.77732638889</v>
      </c>
      <c r="C122" s="1" t="n">
        <v>46066</v>
      </c>
      <c r="D122" t="inlineStr">
        <is>
          <t>SKÅNE LÄN</t>
        </is>
      </c>
      <c r="E122" t="inlineStr">
        <is>
          <t>ÄNGELHOLM</t>
        </is>
      </c>
      <c r="G122" t="n">
        <v>0.6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60227-2025</t>
        </is>
      </c>
      <c r="B123" s="1" t="n">
        <v>45994</v>
      </c>
      <c r="C123" s="1" t="n">
        <v>46066</v>
      </c>
      <c r="D123" t="inlineStr">
        <is>
          <t>SKÅNE LÄN</t>
        </is>
      </c>
      <c r="E123" t="inlineStr">
        <is>
          <t>ÄNGELHOLM</t>
        </is>
      </c>
      <c r="G123" t="n">
        <v>1.5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61094-2021</t>
        </is>
      </c>
      <c r="B124" s="1" t="n">
        <v>44498</v>
      </c>
      <c r="C124" s="1" t="n">
        <v>46066</v>
      </c>
      <c r="D124" t="inlineStr">
        <is>
          <t>SKÅNE LÄN</t>
        </is>
      </c>
      <c r="E124" t="inlineStr">
        <is>
          <t>ÄNGELHOLM</t>
        </is>
      </c>
      <c r="G124" t="n">
        <v>6.4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27553-2023</t>
        </is>
      </c>
      <c r="B125" s="1" t="n">
        <v>45097</v>
      </c>
      <c r="C125" s="1" t="n">
        <v>46066</v>
      </c>
      <c r="D125" t="inlineStr">
        <is>
          <t>SKÅNE LÄN</t>
        </is>
      </c>
      <c r="E125" t="inlineStr">
        <is>
          <t>ÄNGELHOLM</t>
        </is>
      </c>
      <c r="G125" t="n">
        <v>0.8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4977-2026</t>
        </is>
      </c>
      <c r="B126" s="1" t="n">
        <v>46047</v>
      </c>
      <c r="C126" s="1" t="n">
        <v>46066</v>
      </c>
      <c r="D126" t="inlineStr">
        <is>
          <t>SKÅNE LÄN</t>
        </is>
      </c>
      <c r="E126" t="inlineStr">
        <is>
          <t>ÄNGELHOLM</t>
        </is>
      </c>
      <c r="G126" t="n">
        <v>1.8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53501-2022</t>
        </is>
      </c>
      <c r="B127" s="1" t="n">
        <v>44879</v>
      </c>
      <c r="C127" s="1" t="n">
        <v>46066</v>
      </c>
      <c r="D127" t="inlineStr">
        <is>
          <t>SKÅNE LÄN</t>
        </is>
      </c>
      <c r="E127" t="inlineStr">
        <is>
          <t>ÄNGELHOLM</t>
        </is>
      </c>
      <c r="G127" t="n">
        <v>7.2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54709-2023</t>
        </is>
      </c>
      <c r="B128" s="1" t="n">
        <v>45236.34621527778</v>
      </c>
      <c r="C128" s="1" t="n">
        <v>46066</v>
      </c>
      <c r="D128" t="inlineStr">
        <is>
          <t>SKÅNE LÄN</t>
        </is>
      </c>
      <c r="E128" t="inlineStr">
        <is>
          <t>ÄNGELHOLM</t>
        </is>
      </c>
      <c r="G128" t="n">
        <v>3.6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12148-2024</t>
        </is>
      </c>
      <c r="B129" s="1" t="n">
        <v>45377</v>
      </c>
      <c r="C129" s="1" t="n">
        <v>46066</v>
      </c>
      <c r="D129" t="inlineStr">
        <is>
          <t>SKÅNE LÄN</t>
        </is>
      </c>
      <c r="E129" t="inlineStr">
        <is>
          <t>ÄNGELHOLM</t>
        </is>
      </c>
      <c r="G129" t="n">
        <v>1.5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19500-2022</t>
        </is>
      </c>
      <c r="B130" s="1" t="n">
        <v>44693.50188657407</v>
      </c>
      <c r="C130" s="1" t="n">
        <v>46066</v>
      </c>
      <c r="D130" t="inlineStr">
        <is>
          <t>SKÅNE LÄN</t>
        </is>
      </c>
      <c r="E130" t="inlineStr">
        <is>
          <t>ÄNGELHOLM</t>
        </is>
      </c>
      <c r="G130" t="n">
        <v>1.2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4605-2025</t>
        </is>
      </c>
      <c r="B131" s="1" t="n">
        <v>45687.56328703704</v>
      </c>
      <c r="C131" s="1" t="n">
        <v>46066</v>
      </c>
      <c r="D131" t="inlineStr">
        <is>
          <t>SKÅNE LÄN</t>
        </is>
      </c>
      <c r="E131" t="inlineStr">
        <is>
          <t>ÄNGELHOLM</t>
        </is>
      </c>
      <c r="G131" t="n">
        <v>0.8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31720-2023</t>
        </is>
      </c>
      <c r="B132" s="1" t="n">
        <v>45117.89738425926</v>
      </c>
      <c r="C132" s="1" t="n">
        <v>46066</v>
      </c>
      <c r="D132" t="inlineStr">
        <is>
          <t>SKÅNE LÄN</t>
        </is>
      </c>
      <c r="E132" t="inlineStr">
        <is>
          <t>ÄNGELHOLM</t>
        </is>
      </c>
      <c r="G132" t="n">
        <v>0.5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16314-2024</t>
        </is>
      </c>
      <c r="B133" s="1" t="n">
        <v>45407</v>
      </c>
      <c r="C133" s="1" t="n">
        <v>46066</v>
      </c>
      <c r="D133" t="inlineStr">
        <is>
          <t>SKÅNE LÄN</t>
        </is>
      </c>
      <c r="E133" t="inlineStr">
        <is>
          <t>ÄNGELHOLM</t>
        </is>
      </c>
      <c r="G133" t="n">
        <v>1.1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31907-2023</t>
        </is>
      </c>
      <c r="B134" s="1" t="n">
        <v>45118</v>
      </c>
      <c r="C134" s="1" t="n">
        <v>46066</v>
      </c>
      <c r="D134" t="inlineStr">
        <is>
          <t>SKÅNE LÄN</t>
        </is>
      </c>
      <c r="E134" t="inlineStr">
        <is>
          <t>ÄNGELHOLM</t>
        </is>
      </c>
      <c r="G134" t="n">
        <v>5.3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34514-2023</t>
        </is>
      </c>
      <c r="B135" s="1" t="n">
        <v>45140.38099537037</v>
      </c>
      <c r="C135" s="1" t="n">
        <v>46066</v>
      </c>
      <c r="D135" t="inlineStr">
        <is>
          <t>SKÅNE LÄN</t>
        </is>
      </c>
      <c r="E135" t="inlineStr">
        <is>
          <t>ÄNGELHOLM</t>
        </is>
      </c>
      <c r="G135" t="n">
        <v>3.1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46613-2024</t>
        </is>
      </c>
      <c r="B136" s="1" t="n">
        <v>45583</v>
      </c>
      <c r="C136" s="1" t="n">
        <v>46066</v>
      </c>
      <c r="D136" t="inlineStr">
        <is>
          <t>SKÅNE LÄN</t>
        </is>
      </c>
      <c r="E136" t="inlineStr">
        <is>
          <t>ÄNGELHOLM</t>
        </is>
      </c>
      <c r="G136" t="n">
        <v>6.2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23976-2024</t>
        </is>
      </c>
      <c r="B137" s="1" t="n">
        <v>45456.30621527778</v>
      </c>
      <c r="C137" s="1" t="n">
        <v>46066</v>
      </c>
      <c r="D137" t="inlineStr">
        <is>
          <t>SKÅNE LÄN</t>
        </is>
      </c>
      <c r="E137" t="inlineStr">
        <is>
          <t>ÄNGELHOLM</t>
        </is>
      </c>
      <c r="G137" t="n">
        <v>0.6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40278-2023</t>
        </is>
      </c>
      <c r="B138" s="1" t="n">
        <v>45169</v>
      </c>
      <c r="C138" s="1" t="n">
        <v>46066</v>
      </c>
      <c r="D138" t="inlineStr">
        <is>
          <t>SKÅNE LÄN</t>
        </is>
      </c>
      <c r="E138" t="inlineStr">
        <is>
          <t>ÄNGELHOLM</t>
        </is>
      </c>
      <c r="G138" t="n">
        <v>1.1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7871-2025</t>
        </is>
      </c>
      <c r="B139" s="1" t="n">
        <v>45706</v>
      </c>
      <c r="C139" s="1" t="n">
        <v>46066</v>
      </c>
      <c r="D139" t="inlineStr">
        <is>
          <t>SKÅNE LÄN</t>
        </is>
      </c>
      <c r="E139" t="inlineStr">
        <is>
          <t>ÄNGELHOLM</t>
        </is>
      </c>
      <c r="G139" t="n">
        <v>1.1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32430-2023</t>
        </is>
      </c>
      <c r="B140" s="1" t="n">
        <v>45120</v>
      </c>
      <c r="C140" s="1" t="n">
        <v>46066</v>
      </c>
      <c r="D140" t="inlineStr">
        <is>
          <t>SKÅNE LÄN</t>
        </is>
      </c>
      <c r="E140" t="inlineStr">
        <is>
          <t>ÄNGELHOLM</t>
        </is>
      </c>
      <c r="G140" t="n">
        <v>0.9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29436-2024</t>
        </is>
      </c>
      <c r="B141" s="1" t="n">
        <v>45483.78387731482</v>
      </c>
      <c r="C141" s="1" t="n">
        <v>46066</v>
      </c>
      <c r="D141" t="inlineStr">
        <is>
          <t>SKÅNE LÄN</t>
        </is>
      </c>
      <c r="E141" t="inlineStr">
        <is>
          <t>ÄNGELHOLM</t>
        </is>
      </c>
      <c r="G141" t="n">
        <v>4.2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58150-2024</t>
        </is>
      </c>
      <c r="B142" s="1" t="n">
        <v>45632.43736111111</v>
      </c>
      <c r="C142" s="1" t="n">
        <v>46066</v>
      </c>
      <c r="D142" t="inlineStr">
        <is>
          <t>SKÅNE LÄN</t>
        </is>
      </c>
      <c r="E142" t="inlineStr">
        <is>
          <t>ÄNGELHOLM</t>
        </is>
      </c>
      <c r="G142" t="n">
        <v>0.5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28264-2022</t>
        </is>
      </c>
      <c r="B143" s="1" t="n">
        <v>44746</v>
      </c>
      <c r="C143" s="1" t="n">
        <v>46066</v>
      </c>
      <c r="D143" t="inlineStr">
        <is>
          <t>SKÅNE LÄN</t>
        </is>
      </c>
      <c r="E143" t="inlineStr">
        <is>
          <t>ÄNGELHOLM</t>
        </is>
      </c>
      <c r="G143" t="n">
        <v>1.5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10833-2021</t>
        </is>
      </c>
      <c r="B144" s="1" t="n">
        <v>44259</v>
      </c>
      <c r="C144" s="1" t="n">
        <v>46066</v>
      </c>
      <c r="D144" t="inlineStr">
        <is>
          <t>SKÅNE LÄN</t>
        </is>
      </c>
      <c r="E144" t="inlineStr">
        <is>
          <t>ÄNGELHOLM</t>
        </is>
      </c>
      <c r="G144" t="n">
        <v>5.4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31709-2023</t>
        </is>
      </c>
      <c r="B145" s="1" t="n">
        <v>45117</v>
      </c>
      <c r="C145" s="1" t="n">
        <v>46066</v>
      </c>
      <c r="D145" t="inlineStr">
        <is>
          <t>SKÅNE LÄN</t>
        </is>
      </c>
      <c r="E145" t="inlineStr">
        <is>
          <t>ÄNGELHOLM</t>
        </is>
      </c>
      <c r="G145" t="n">
        <v>0.6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8665-2022</t>
        </is>
      </c>
      <c r="B146" s="1" t="n">
        <v>44613</v>
      </c>
      <c r="C146" s="1" t="n">
        <v>46066</v>
      </c>
      <c r="D146" t="inlineStr">
        <is>
          <t>SKÅNE LÄN</t>
        </is>
      </c>
      <c r="E146" t="inlineStr">
        <is>
          <t>ÄNGELHOLM</t>
        </is>
      </c>
      <c r="G146" t="n">
        <v>0.6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60-2024</t>
        </is>
      </c>
      <c r="B147" s="1" t="n">
        <v>45293</v>
      </c>
      <c r="C147" s="1" t="n">
        <v>46066</v>
      </c>
      <c r="D147" t="inlineStr">
        <is>
          <t>SKÅNE LÄN</t>
        </is>
      </c>
      <c r="E147" t="inlineStr">
        <is>
          <t>ÄNGELHOLM</t>
        </is>
      </c>
      <c r="G147" t="n">
        <v>1.2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607-2024</t>
        </is>
      </c>
      <c r="B148" s="1" t="n">
        <v>45299</v>
      </c>
      <c r="C148" s="1" t="n">
        <v>46066</v>
      </c>
      <c r="D148" t="inlineStr">
        <is>
          <t>SKÅNE LÄN</t>
        </is>
      </c>
      <c r="E148" t="inlineStr">
        <is>
          <t>ÄNGELHOLM</t>
        </is>
      </c>
      <c r="G148" t="n">
        <v>0.6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49206-2024</t>
        </is>
      </c>
      <c r="B149" s="1" t="n">
        <v>45595.36711805555</v>
      </c>
      <c r="C149" s="1" t="n">
        <v>46066</v>
      </c>
      <c r="D149" t="inlineStr">
        <is>
          <t>SKÅNE LÄN</t>
        </is>
      </c>
      <c r="E149" t="inlineStr">
        <is>
          <t>ÄNGELHOLM</t>
        </is>
      </c>
      <c r="G149" t="n">
        <v>1.7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19503-2022</t>
        </is>
      </c>
      <c r="B150" s="1" t="n">
        <v>44693</v>
      </c>
      <c r="C150" s="1" t="n">
        <v>46066</v>
      </c>
      <c r="D150" t="inlineStr">
        <is>
          <t>SKÅNE LÄN</t>
        </is>
      </c>
      <c r="E150" t="inlineStr">
        <is>
          <t>ÄNGELHOLM</t>
        </is>
      </c>
      <c r="G150" t="n">
        <v>5.1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57923-2024</t>
        </is>
      </c>
      <c r="B151" s="1" t="n">
        <v>45631</v>
      </c>
      <c r="C151" s="1" t="n">
        <v>46066</v>
      </c>
      <c r="D151" t="inlineStr">
        <is>
          <t>SKÅNE LÄN</t>
        </is>
      </c>
      <c r="E151" t="inlineStr">
        <is>
          <t>ÄNGELHOLM</t>
        </is>
      </c>
      <c r="G151" t="n">
        <v>4.5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10377-2021</t>
        </is>
      </c>
      <c r="B152" s="1" t="n">
        <v>44257</v>
      </c>
      <c r="C152" s="1" t="n">
        <v>46066</v>
      </c>
      <c r="D152" t="inlineStr">
        <is>
          <t>SKÅNE LÄN</t>
        </is>
      </c>
      <c r="E152" t="inlineStr">
        <is>
          <t>ÄNGELHOLM</t>
        </is>
      </c>
      <c r="G152" t="n">
        <v>1.7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308-2023</t>
        </is>
      </c>
      <c r="B153" s="1" t="n">
        <v>44929</v>
      </c>
      <c r="C153" s="1" t="n">
        <v>46066</v>
      </c>
      <c r="D153" t="inlineStr">
        <is>
          <t>SKÅNE LÄN</t>
        </is>
      </c>
      <c r="E153" t="inlineStr">
        <is>
          <t>ÄNGELHOLM</t>
        </is>
      </c>
      <c r="G153" t="n">
        <v>0.8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20623-2025</t>
        </is>
      </c>
      <c r="B154" s="1" t="n">
        <v>45776.32377314815</v>
      </c>
      <c r="C154" s="1" t="n">
        <v>46066</v>
      </c>
      <c r="D154" t="inlineStr">
        <is>
          <t>SKÅNE LÄN</t>
        </is>
      </c>
      <c r="E154" t="inlineStr">
        <is>
          <t>ÄNGELHOLM</t>
        </is>
      </c>
      <c r="G154" t="n">
        <v>0.9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20635-2024</t>
        </is>
      </c>
      <c r="B155" s="1" t="n">
        <v>45436</v>
      </c>
      <c r="C155" s="1" t="n">
        <v>46066</v>
      </c>
      <c r="D155" t="inlineStr">
        <is>
          <t>SKÅNE LÄN</t>
        </is>
      </c>
      <c r="E155" t="inlineStr">
        <is>
          <t>ÄNGELHOLM</t>
        </is>
      </c>
      <c r="G155" t="n">
        <v>4.8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23980-2024</t>
        </is>
      </c>
      <c r="B156" s="1" t="n">
        <v>45456</v>
      </c>
      <c r="C156" s="1" t="n">
        <v>46066</v>
      </c>
      <c r="D156" t="inlineStr">
        <is>
          <t>SKÅNE LÄN</t>
        </is>
      </c>
      <c r="E156" t="inlineStr">
        <is>
          <t>ÄNGELHOLM</t>
        </is>
      </c>
      <c r="G156" t="n">
        <v>1.3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55748-2024</t>
        </is>
      </c>
      <c r="B157" s="1" t="n">
        <v>45623.3237962963</v>
      </c>
      <c r="C157" s="1" t="n">
        <v>46066</v>
      </c>
      <c r="D157" t="inlineStr">
        <is>
          <t>SKÅNE LÄN</t>
        </is>
      </c>
      <c r="E157" t="inlineStr">
        <is>
          <t>ÄNGELHOLM</t>
        </is>
      </c>
      <c r="G157" t="n">
        <v>0.9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>
      <c r="A158" t="inlineStr">
        <is>
          <t>A 48197-2024</t>
        </is>
      </c>
      <c r="B158" s="1" t="n">
        <v>45590</v>
      </c>
      <c r="C158" s="1" t="n">
        <v>46066</v>
      </c>
      <c r="D158" t="inlineStr">
        <is>
          <t>SKÅNE LÄN</t>
        </is>
      </c>
      <c r="E158" t="inlineStr">
        <is>
          <t>ÄNGELHOLM</t>
        </is>
      </c>
      <c r="G158" t="n">
        <v>3.1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2026-02-13T11:04:02Z</dcterms:created>
  <dcterms:modified xmlns:dcterms="http://purl.org/dc/terms/" xmlns:xsi="http://www.w3.org/2001/XMLSchema-instance" xsi:type="dcterms:W3CDTF">2026-02-13T11:04:02Z</dcterms:modified>
</cp:coreProperties>
</file>