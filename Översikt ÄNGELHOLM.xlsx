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45722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45722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45722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45722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45722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45722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45722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45722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45722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45722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45722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45722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45722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45722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45722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45722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45722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64562-2023</t>
        </is>
      </c>
      <c r="B19" s="1" t="n">
        <v>45281</v>
      </c>
      <c r="C19" s="1" t="n">
        <v>45722</v>
      </c>
      <c r="D19" t="inlineStr">
        <is>
          <t>SKÅNE LÄN</t>
        </is>
      </c>
      <c r="E19" t="inlineStr">
        <is>
          <t>ÄNGELHOLM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64562-2023 artfynd.xlsx", "A 64562-2023")</f>
        <v/>
      </c>
      <c r="T19">
        <f>HYPERLINK("https://klasma.github.io/Logging_1292/kartor/A 64562-2023 karta.png", "A 64562-2023")</f>
        <v/>
      </c>
      <c r="V19">
        <f>HYPERLINK("https://klasma.github.io/Logging_1292/klagomål/A 64562-2023 FSC-klagomål.docx", "A 64562-2023")</f>
        <v/>
      </c>
      <c r="W19">
        <f>HYPERLINK("https://klasma.github.io/Logging_1292/klagomålsmail/A 64562-2023 FSC-klagomål mail.docx", "A 64562-2023")</f>
        <v/>
      </c>
      <c r="X19">
        <f>HYPERLINK("https://klasma.github.io/Logging_1292/tillsyn/A 64562-2023 tillsynsbegäran.docx", "A 64562-2023")</f>
        <v/>
      </c>
      <c r="Y19">
        <f>HYPERLINK("https://klasma.github.io/Logging_1292/tillsynsmail/A 64562-2023 tillsynsbegäran mail.docx", "A 64562-2023")</f>
        <v/>
      </c>
    </row>
    <row r="20" ht="15" customHeight="1">
      <c r="A20" t="inlineStr">
        <is>
          <t>A 48064-2024</t>
        </is>
      </c>
      <c r="B20" s="1" t="n">
        <v>45589</v>
      </c>
      <c r="C20" s="1" t="n">
        <v>45722</v>
      </c>
      <c r="D20" t="inlineStr">
        <is>
          <t>SKÅNE LÄN</t>
        </is>
      </c>
      <c r="E20" t="inlineStr">
        <is>
          <t>ÄNGELHOLM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Klotullört</t>
        </is>
      </c>
      <c r="S20">
        <f>HYPERLINK("https://klasma.github.io/Logging_1292/artfynd/A 48064-2024 artfynd.xlsx", "A 48064-2024")</f>
        <v/>
      </c>
      <c r="T20">
        <f>HYPERLINK("https://klasma.github.io/Logging_1292/kartor/A 48064-2024 karta.png", "A 48064-2024")</f>
        <v/>
      </c>
      <c r="V20">
        <f>HYPERLINK("https://klasma.github.io/Logging_1292/klagomål/A 48064-2024 FSC-klagomål.docx", "A 48064-2024")</f>
        <v/>
      </c>
      <c r="W20">
        <f>HYPERLINK("https://klasma.github.io/Logging_1292/klagomålsmail/A 48064-2024 FSC-klagomål mail.docx", "A 48064-2024")</f>
        <v/>
      </c>
      <c r="X20">
        <f>HYPERLINK("https://klasma.github.io/Logging_1292/tillsyn/A 48064-2024 tillsynsbegäran.docx", "A 48064-2024")</f>
        <v/>
      </c>
      <c r="Y20">
        <f>HYPERLINK("https://klasma.github.io/Logging_1292/tillsynsmail/A 48064-2024 tillsynsbegäran mail.docx", "A 48064-2024")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45722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22516-2019</t>
        </is>
      </c>
      <c r="B22" s="1" t="n">
        <v>43587</v>
      </c>
      <c r="C22" s="1" t="n">
        <v>45722</v>
      </c>
      <c r="D22" t="inlineStr">
        <is>
          <t>SKÅNE LÄN</t>
        </is>
      </c>
      <c r="E22" t="inlineStr">
        <is>
          <t>ÄNGELHOLM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23781-2019</t>
        </is>
      </c>
      <c r="B23" s="1" t="n">
        <v>43595</v>
      </c>
      <c r="C23" s="1" t="n">
        <v>45722</v>
      </c>
      <c r="D23" t="inlineStr">
        <is>
          <t>SKÅNE LÄN</t>
        </is>
      </c>
      <c r="E23" t="inlineStr">
        <is>
          <t>ÄNGELHOLM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24095-2019</t>
        </is>
      </c>
      <c r="B24" s="1" t="n">
        <v>43598</v>
      </c>
      <c r="C24" s="1" t="n">
        <v>45722</v>
      </c>
      <c r="D24" t="inlineStr">
        <is>
          <t>SKÅNE LÄN</t>
        </is>
      </c>
      <c r="E24" t="inlineStr">
        <is>
          <t>ÄNGELHOLM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27059-2019</t>
        </is>
      </c>
      <c r="B25" s="1" t="n">
        <v>43614</v>
      </c>
      <c r="C25" s="1" t="n">
        <v>45722</v>
      </c>
      <c r="D25" t="inlineStr">
        <is>
          <t>SKÅNE LÄN</t>
        </is>
      </c>
      <c r="E25" t="inlineStr">
        <is>
          <t>ÄNGELHOLM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43405-2019</t>
        </is>
      </c>
      <c r="B26" s="1" t="n">
        <v>43706</v>
      </c>
      <c r="C26" s="1" t="n">
        <v>45722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43407-2019</t>
        </is>
      </c>
      <c r="B27" s="1" t="n">
        <v>43706</v>
      </c>
      <c r="C27" s="1" t="n">
        <v>45722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45734-2019</t>
        </is>
      </c>
      <c r="B28" s="1" t="n">
        <v>43712</v>
      </c>
      <c r="C28" s="1" t="n">
        <v>45722</v>
      </c>
      <c r="D28" t="inlineStr">
        <is>
          <t>SKÅNE LÄN</t>
        </is>
      </c>
      <c r="E28" t="inlineStr">
        <is>
          <t>ÄNGELHOLM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45682-2019</t>
        </is>
      </c>
      <c r="B29" s="1" t="n">
        <v>43717</v>
      </c>
      <c r="C29" s="1" t="n">
        <v>45722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45693-2019</t>
        </is>
      </c>
      <c r="B30" s="1" t="n">
        <v>43717</v>
      </c>
      <c r="C30" s="1" t="n">
        <v>45722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64755-2019</t>
        </is>
      </c>
      <c r="B31" s="1" t="n">
        <v>43801</v>
      </c>
      <c r="C31" s="1" t="n">
        <v>45722</v>
      </c>
      <c r="D31" t="inlineStr">
        <is>
          <t>SKÅNE LÄN</t>
        </is>
      </c>
      <c r="E31" t="inlineStr">
        <is>
          <t>ÄNGELHOLM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67739-2019</t>
        </is>
      </c>
      <c r="B32" s="1" t="n">
        <v>43810</v>
      </c>
      <c r="C32" s="1" t="n">
        <v>45722</v>
      </c>
      <c r="D32" t="inlineStr">
        <is>
          <t>SKÅNE LÄN</t>
        </is>
      </c>
      <c r="E32" t="inlineStr">
        <is>
          <t>ÄNGELHOLM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67731-2019</t>
        </is>
      </c>
      <c r="B33" s="1" t="n">
        <v>43810</v>
      </c>
      <c r="C33" s="1" t="n">
        <v>45722</v>
      </c>
      <c r="D33" t="inlineStr">
        <is>
          <t>SKÅNE LÄN</t>
        </is>
      </c>
      <c r="E33" t="inlineStr">
        <is>
          <t>ÄNGELHOLM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7539-2020</t>
        </is>
      </c>
      <c r="B34" s="1" t="n">
        <v>43872</v>
      </c>
      <c r="C34" s="1" t="n">
        <v>45722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9498-2020</t>
        </is>
      </c>
      <c r="B35" s="1" t="n">
        <v>43880</v>
      </c>
      <c r="C35" s="1" t="n">
        <v>45722</v>
      </c>
      <c r="D35" t="inlineStr">
        <is>
          <t>SKÅNE LÄN</t>
        </is>
      </c>
      <c r="E35" t="inlineStr">
        <is>
          <t>ÄNGELHOLM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11783-2020</t>
        </is>
      </c>
      <c r="B36" s="1" t="n">
        <v>43894</v>
      </c>
      <c r="C36" s="1" t="n">
        <v>45722</v>
      </c>
      <c r="D36" t="inlineStr">
        <is>
          <t>SKÅNE LÄN</t>
        </is>
      </c>
      <c r="E36" t="inlineStr">
        <is>
          <t>ÄNGELHOLM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12507-2020</t>
        </is>
      </c>
      <c r="B37" s="1" t="n">
        <v>43896</v>
      </c>
      <c r="C37" s="1" t="n">
        <v>45722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23714-2020</t>
        </is>
      </c>
      <c r="B38" s="1" t="n">
        <v>43970</v>
      </c>
      <c r="C38" s="1" t="n">
        <v>45722</v>
      </c>
      <c r="D38" t="inlineStr">
        <is>
          <t>SKÅNE LÄN</t>
        </is>
      </c>
      <c r="E38" t="inlineStr">
        <is>
          <t>ÄNGELHOLM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25723-2020</t>
        </is>
      </c>
      <c r="B39" s="1" t="n">
        <v>43984</v>
      </c>
      <c r="C39" s="1" t="n">
        <v>45722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35435-2020</t>
        </is>
      </c>
      <c r="B40" s="1" t="n">
        <v>44042</v>
      </c>
      <c r="C40" s="1" t="n">
        <v>45722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35442-2020</t>
        </is>
      </c>
      <c r="B41" s="1" t="n">
        <v>44042</v>
      </c>
      <c r="C41" s="1" t="n">
        <v>45722</v>
      </c>
      <c r="D41" t="inlineStr">
        <is>
          <t>SKÅNE LÄN</t>
        </is>
      </c>
      <c r="E41" t="inlineStr">
        <is>
          <t>ÄNGELHOLM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35439-2020</t>
        </is>
      </c>
      <c r="B42" s="1" t="n">
        <v>44042</v>
      </c>
      <c r="C42" s="1" t="n">
        <v>45722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42565-2020</t>
        </is>
      </c>
      <c r="B43" s="1" t="n">
        <v>44077</v>
      </c>
      <c r="C43" s="1" t="n">
        <v>45722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43645-2020</t>
        </is>
      </c>
      <c r="B44" s="1" t="n">
        <v>44078</v>
      </c>
      <c r="C44" s="1" t="n">
        <v>45722</v>
      </c>
      <c r="D44" t="inlineStr">
        <is>
          <t>SKÅNE LÄN</t>
        </is>
      </c>
      <c r="E44" t="inlineStr">
        <is>
          <t>ÄNGELHOLM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47566-2020</t>
        </is>
      </c>
      <c r="B45" s="1" t="n">
        <v>44098</v>
      </c>
      <c r="C45" s="1" t="n">
        <v>45722</v>
      </c>
      <c r="D45" t="inlineStr">
        <is>
          <t>SKÅNE LÄN</t>
        </is>
      </c>
      <c r="E45" t="inlineStr">
        <is>
          <t>ÄNGELHOLM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68428-2020</t>
        </is>
      </c>
      <c r="B46" s="1" t="n">
        <v>44183</v>
      </c>
      <c r="C46" s="1" t="n">
        <v>45722</v>
      </c>
      <c r="D46" t="inlineStr">
        <is>
          <t>SKÅNE LÄN</t>
        </is>
      </c>
      <c r="E46" t="inlineStr">
        <is>
          <t>ÄNGELHOLM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1620-2021</t>
        </is>
      </c>
      <c r="B47" s="1" t="n">
        <v>44209</v>
      </c>
      <c r="C47" s="1" t="n">
        <v>45722</v>
      </c>
      <c r="D47" t="inlineStr">
        <is>
          <t>SKÅNE LÄN</t>
        </is>
      </c>
      <c r="E47" t="inlineStr">
        <is>
          <t>ÄNGELHOLM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1578-2021</t>
        </is>
      </c>
      <c r="B48" s="1" t="n">
        <v>44209</v>
      </c>
      <c r="C48" s="1" t="n">
        <v>45722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4244-2021</t>
        </is>
      </c>
      <c r="B49" s="1" t="n">
        <v>44223</v>
      </c>
      <c r="C49" s="1" t="n">
        <v>45722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4933-2021</t>
        </is>
      </c>
      <c r="B50" s="1" t="n">
        <v>44227</v>
      </c>
      <c r="C50" s="1" t="n">
        <v>45722</v>
      </c>
      <c r="D50" t="inlineStr">
        <is>
          <t>SKÅNE LÄN</t>
        </is>
      </c>
      <c r="E50" t="inlineStr">
        <is>
          <t>ÄNGELHOLM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6574-2021</t>
        </is>
      </c>
      <c r="B51" s="1" t="n">
        <v>44236</v>
      </c>
      <c r="C51" s="1" t="n">
        <v>45722</v>
      </c>
      <c r="D51" t="inlineStr">
        <is>
          <t>SKÅNE LÄN</t>
        </is>
      </c>
      <c r="E51" t="inlineStr">
        <is>
          <t>ÄNGELHOLM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10377-2021</t>
        </is>
      </c>
      <c r="B52" s="1" t="n">
        <v>44257</v>
      </c>
      <c r="C52" s="1" t="n">
        <v>45722</v>
      </c>
      <c r="D52" t="inlineStr">
        <is>
          <t>SKÅNE LÄN</t>
        </is>
      </c>
      <c r="E52" t="inlineStr">
        <is>
          <t>ÄNGELHOLM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10833-2021</t>
        </is>
      </c>
      <c r="B53" s="1" t="n">
        <v>44259</v>
      </c>
      <c r="C53" s="1" t="n">
        <v>45722</v>
      </c>
      <c r="D53" t="inlineStr">
        <is>
          <t>SKÅNE LÄN</t>
        </is>
      </c>
      <c r="E53" t="inlineStr">
        <is>
          <t>ÄNGELHOLM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13876-2021</t>
        </is>
      </c>
      <c r="B54" s="1" t="n">
        <v>44277</v>
      </c>
      <c r="C54" s="1" t="n">
        <v>45722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13873-2021</t>
        </is>
      </c>
      <c r="B55" s="1" t="n">
        <v>44277</v>
      </c>
      <c r="C55" s="1" t="n">
        <v>45722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24691-2021</t>
        </is>
      </c>
      <c r="B56" s="1" t="n">
        <v>44340</v>
      </c>
      <c r="C56" s="1" t="n">
        <v>45722</v>
      </c>
      <c r="D56" t="inlineStr">
        <is>
          <t>SKÅNE LÄN</t>
        </is>
      </c>
      <c r="E56" t="inlineStr">
        <is>
          <t>ÄNGELHOLM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24932-2021</t>
        </is>
      </c>
      <c r="B57" s="1" t="n">
        <v>44341</v>
      </c>
      <c r="C57" s="1" t="n">
        <v>45722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32735-2021</t>
        </is>
      </c>
      <c r="B58" s="1" t="n">
        <v>44375</v>
      </c>
      <c r="C58" s="1" t="n">
        <v>45722</v>
      </c>
      <c r="D58" t="inlineStr">
        <is>
          <t>SKÅNE LÄN</t>
        </is>
      </c>
      <c r="E58" t="inlineStr">
        <is>
          <t>ÄNGELHOLM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49361-2021</t>
        </is>
      </c>
      <c r="B59" s="1" t="n">
        <v>44454</v>
      </c>
      <c r="C59" s="1" t="n">
        <v>45722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56063-2021</t>
        </is>
      </c>
      <c r="B60" s="1" t="n">
        <v>44477</v>
      </c>
      <c r="C60" s="1" t="n">
        <v>45722</v>
      </c>
      <c r="D60" t="inlineStr">
        <is>
          <t>SKÅNE LÄN</t>
        </is>
      </c>
      <c r="E60" t="inlineStr">
        <is>
          <t>ÄNGELHOLM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56094-2021</t>
        </is>
      </c>
      <c r="B61" s="1" t="n">
        <v>44477</v>
      </c>
      <c r="C61" s="1" t="n">
        <v>45722</v>
      </c>
      <c r="D61" t="inlineStr">
        <is>
          <t>SKÅNE LÄN</t>
        </is>
      </c>
      <c r="E61" t="inlineStr">
        <is>
          <t>ÄNGELHOLM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56569-2021</t>
        </is>
      </c>
      <c r="B62" s="1" t="n">
        <v>44480</v>
      </c>
      <c r="C62" s="1" t="n">
        <v>45722</v>
      </c>
      <c r="D62" t="inlineStr">
        <is>
          <t>SKÅNE LÄN</t>
        </is>
      </c>
      <c r="E62" t="inlineStr">
        <is>
          <t>ÄNGELHOLM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61265-2021</t>
        </is>
      </c>
      <c r="B63" s="1" t="n">
        <v>44498</v>
      </c>
      <c r="C63" s="1" t="n">
        <v>45722</v>
      </c>
      <c r="D63" t="inlineStr">
        <is>
          <t>SKÅNE LÄN</t>
        </is>
      </c>
      <c r="E63" t="inlineStr">
        <is>
          <t>ÄNGELHOLM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61094-2021</t>
        </is>
      </c>
      <c r="B64" s="1" t="n">
        <v>44498</v>
      </c>
      <c r="C64" s="1" t="n">
        <v>45722</v>
      </c>
      <c r="D64" t="inlineStr">
        <is>
          <t>SKÅNE LÄN</t>
        </is>
      </c>
      <c r="E64" t="inlineStr">
        <is>
          <t>ÄNGELHOLM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61269-2021</t>
        </is>
      </c>
      <c r="B65" s="1" t="n">
        <v>44498</v>
      </c>
      <c r="C65" s="1" t="n">
        <v>45722</v>
      </c>
      <c r="D65" t="inlineStr">
        <is>
          <t>SKÅNE LÄN</t>
        </is>
      </c>
      <c r="E65" t="inlineStr">
        <is>
          <t>ÄNGELHOLM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61263-2021</t>
        </is>
      </c>
      <c r="B66" s="1" t="n">
        <v>44498</v>
      </c>
      <c r="C66" s="1" t="n">
        <v>45722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74214-2021</t>
        </is>
      </c>
      <c r="B67" s="1" t="n">
        <v>44553</v>
      </c>
      <c r="C67" s="1" t="n">
        <v>45722</v>
      </c>
      <c r="D67" t="inlineStr">
        <is>
          <t>SKÅNE LÄN</t>
        </is>
      </c>
      <c r="E67" t="inlineStr">
        <is>
          <t>ÄNGELHOLM</t>
        </is>
      </c>
      <c r="G67" t="n">
        <v>19.8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5046-2022</t>
        </is>
      </c>
      <c r="B68" s="1" t="n">
        <v>44593</v>
      </c>
      <c r="C68" s="1" t="n">
        <v>45722</v>
      </c>
      <c r="D68" t="inlineStr">
        <is>
          <t>SKÅNE LÄN</t>
        </is>
      </c>
      <c r="E68" t="inlineStr">
        <is>
          <t>ÄNGELHOLM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8665-2022</t>
        </is>
      </c>
      <c r="B69" s="1" t="n">
        <v>44613</v>
      </c>
      <c r="C69" s="1" t="n">
        <v>45722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11773-2022</t>
        </is>
      </c>
      <c r="B70" s="1" t="n">
        <v>44634</v>
      </c>
      <c r="C70" s="1" t="n">
        <v>45722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11775-2022</t>
        </is>
      </c>
      <c r="B71" s="1" t="n">
        <v>44634</v>
      </c>
      <c r="C71" s="1" t="n">
        <v>45722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15046-2022</t>
        </is>
      </c>
      <c r="B72" s="1" t="n">
        <v>44657</v>
      </c>
      <c r="C72" s="1" t="n">
        <v>45722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19503-2022</t>
        </is>
      </c>
      <c r="B73" s="1" t="n">
        <v>44693</v>
      </c>
      <c r="C73" s="1" t="n">
        <v>45722</v>
      </c>
      <c r="D73" t="inlineStr">
        <is>
          <t>SKÅNE LÄN</t>
        </is>
      </c>
      <c r="E73" t="inlineStr">
        <is>
          <t>ÄNGELHOLM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19500-2022</t>
        </is>
      </c>
      <c r="B74" s="1" t="n">
        <v>44693</v>
      </c>
      <c r="C74" s="1" t="n">
        <v>45722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23328-2022</t>
        </is>
      </c>
      <c r="B75" s="1" t="n">
        <v>44720</v>
      </c>
      <c r="C75" s="1" t="n">
        <v>45722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24233-2022</t>
        </is>
      </c>
      <c r="B76" s="1" t="n">
        <v>44725</v>
      </c>
      <c r="C76" s="1" t="n">
        <v>45722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28264-2022</t>
        </is>
      </c>
      <c r="B77" s="1" t="n">
        <v>44746</v>
      </c>
      <c r="C77" s="1" t="n">
        <v>45722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30558-2022</t>
        </is>
      </c>
      <c r="B78" s="1" t="n">
        <v>44762</v>
      </c>
      <c r="C78" s="1" t="n">
        <v>45722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36041-2022</t>
        </is>
      </c>
      <c r="B79" s="1" t="n">
        <v>44802</v>
      </c>
      <c r="C79" s="1" t="n">
        <v>45722</v>
      </c>
      <c r="D79" t="inlineStr">
        <is>
          <t>SKÅNE LÄN</t>
        </is>
      </c>
      <c r="E79" t="inlineStr">
        <is>
          <t>ÄNGELHOLM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36036-2022</t>
        </is>
      </c>
      <c r="B80" s="1" t="n">
        <v>44802</v>
      </c>
      <c r="C80" s="1" t="n">
        <v>45722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36358-2022</t>
        </is>
      </c>
      <c r="B81" s="1" t="n">
        <v>44803</v>
      </c>
      <c r="C81" s="1" t="n">
        <v>45722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37055-2022</t>
        </is>
      </c>
      <c r="B82" s="1" t="n">
        <v>44806</v>
      </c>
      <c r="C82" s="1" t="n">
        <v>45722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41725-2022</t>
        </is>
      </c>
      <c r="B83" s="1" t="n">
        <v>44827</v>
      </c>
      <c r="C83" s="1" t="n">
        <v>45722</v>
      </c>
      <c r="D83" t="inlineStr">
        <is>
          <t>SKÅNE LÄN</t>
        </is>
      </c>
      <c r="E83" t="inlineStr">
        <is>
          <t>ÄNGELHOLM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41769-2022</t>
        </is>
      </c>
      <c r="B84" s="1" t="n">
        <v>44827</v>
      </c>
      <c r="C84" s="1" t="n">
        <v>45722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41764-2022</t>
        </is>
      </c>
      <c r="B85" s="1" t="n">
        <v>44827</v>
      </c>
      <c r="C85" s="1" t="n">
        <v>45722</v>
      </c>
      <c r="D85" t="inlineStr">
        <is>
          <t>SKÅNE LÄN</t>
        </is>
      </c>
      <c r="E85" t="inlineStr">
        <is>
          <t>ÄNGELHOLM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</v>
      </c>
      <c r="C86" s="1" t="n">
        <v>45722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44062-2022</t>
        </is>
      </c>
      <c r="B87" s="1" t="n">
        <v>44839</v>
      </c>
      <c r="C87" s="1" t="n">
        <v>45722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44060-2022</t>
        </is>
      </c>
      <c r="B88" s="1" t="n">
        <v>44839</v>
      </c>
      <c r="C88" s="1" t="n">
        <v>45722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44247-2022</t>
        </is>
      </c>
      <c r="B89" s="1" t="n">
        <v>44839</v>
      </c>
      <c r="C89" s="1" t="n">
        <v>45722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44473-2022</t>
        </is>
      </c>
      <c r="B90" s="1" t="n">
        <v>44840</v>
      </c>
      <c r="C90" s="1" t="n">
        <v>45722</v>
      </c>
      <c r="D90" t="inlineStr">
        <is>
          <t>SKÅNE LÄN</t>
        </is>
      </c>
      <c r="E90" t="inlineStr">
        <is>
          <t>ÄNGELHOLM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45288-2022</t>
        </is>
      </c>
      <c r="B91" s="1" t="n">
        <v>44844</v>
      </c>
      <c r="C91" s="1" t="n">
        <v>45722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45305-2022</t>
        </is>
      </c>
      <c r="B92" s="1" t="n">
        <v>44844</v>
      </c>
      <c r="C92" s="1" t="n">
        <v>45722</v>
      </c>
      <c r="D92" t="inlineStr">
        <is>
          <t>SKÅNE LÄN</t>
        </is>
      </c>
      <c r="E92" t="inlineStr">
        <is>
          <t>ÄNGELHOLM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45749-2022</t>
        </is>
      </c>
      <c r="B93" s="1" t="n">
        <v>44846</v>
      </c>
      <c r="C93" s="1" t="n">
        <v>45722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48592-2022</t>
        </is>
      </c>
      <c r="B94" s="1" t="n">
        <v>44859</v>
      </c>
      <c r="C94" s="1" t="n">
        <v>45722</v>
      </c>
      <c r="D94" t="inlineStr">
        <is>
          <t>SKÅNE LÄN</t>
        </is>
      </c>
      <c r="E94" t="inlineStr">
        <is>
          <t>ÄNGELHOLM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49885-2022</t>
        </is>
      </c>
      <c r="B95" s="1" t="n">
        <v>44864</v>
      </c>
      <c r="C95" s="1" t="n">
        <v>45722</v>
      </c>
      <c r="D95" t="inlineStr">
        <is>
          <t>SKÅNE LÄN</t>
        </is>
      </c>
      <c r="E95" t="inlineStr">
        <is>
          <t>ÄNGELHOLM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53501-2022</t>
        </is>
      </c>
      <c r="B96" s="1" t="n">
        <v>44879</v>
      </c>
      <c r="C96" s="1" t="n">
        <v>45722</v>
      </c>
      <c r="D96" t="inlineStr">
        <is>
          <t>SKÅNE LÄN</t>
        </is>
      </c>
      <c r="E96" t="inlineStr">
        <is>
          <t>ÄNGELHOLM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53742-2022</t>
        </is>
      </c>
      <c r="B97" s="1" t="n">
        <v>44880</v>
      </c>
      <c r="C97" s="1" t="n">
        <v>45722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55544-2022</t>
        </is>
      </c>
      <c r="B98" s="1" t="n">
        <v>44887</v>
      </c>
      <c r="C98" s="1" t="n">
        <v>45722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55545-2022</t>
        </is>
      </c>
      <c r="B99" s="1" t="n">
        <v>44887</v>
      </c>
      <c r="C99" s="1" t="n">
        <v>45722</v>
      </c>
      <c r="D99" t="inlineStr">
        <is>
          <t>SKÅNE LÄN</t>
        </is>
      </c>
      <c r="E99" t="inlineStr">
        <is>
          <t>ÄNGELHOLM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55750-2022</t>
        </is>
      </c>
      <c r="B100" s="1" t="n">
        <v>44888</v>
      </c>
      <c r="C100" s="1" t="n">
        <v>45722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56380-2022</t>
        </is>
      </c>
      <c r="B101" s="1" t="n">
        <v>44890</v>
      </c>
      <c r="C101" s="1" t="n">
        <v>45722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58135-2022</t>
        </is>
      </c>
      <c r="B102" s="1" t="n">
        <v>44900</v>
      </c>
      <c r="C102" s="1" t="n">
        <v>45722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58134-2022</t>
        </is>
      </c>
      <c r="B103" s="1" t="n">
        <v>44900</v>
      </c>
      <c r="C103" s="1" t="n">
        <v>45722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</v>
      </c>
      <c r="C104" s="1" t="n">
        <v>45722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308-2023</t>
        </is>
      </c>
      <c r="B105" s="1" t="n">
        <v>44929</v>
      </c>
      <c r="C105" s="1" t="n">
        <v>45722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595-2023</t>
        </is>
      </c>
      <c r="B106" s="1" t="n">
        <v>44930</v>
      </c>
      <c r="C106" s="1" t="n">
        <v>45722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3633-2023</t>
        </is>
      </c>
      <c r="B107" s="1" t="n">
        <v>44950</v>
      </c>
      <c r="C107" s="1" t="n">
        <v>45722</v>
      </c>
      <c r="D107" t="inlineStr">
        <is>
          <t>SKÅNE LÄN</t>
        </is>
      </c>
      <c r="E107" t="inlineStr">
        <is>
          <t>ÄNGELHOLM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4109-2023</t>
        </is>
      </c>
      <c r="B108" s="1" t="n">
        <v>44952</v>
      </c>
      <c r="C108" s="1" t="n">
        <v>45722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7762-2023</t>
        </is>
      </c>
      <c r="B109" s="1" t="n">
        <v>44973</v>
      </c>
      <c r="C109" s="1" t="n">
        <v>45722</v>
      </c>
      <c r="D109" t="inlineStr">
        <is>
          <t>SKÅNE LÄN</t>
        </is>
      </c>
      <c r="E109" t="inlineStr">
        <is>
          <t>ÄNGELHOLM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7811-2023</t>
        </is>
      </c>
      <c r="B110" s="1" t="n">
        <v>44973</v>
      </c>
      <c r="C110" s="1" t="n">
        <v>45722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7994-2023</t>
        </is>
      </c>
      <c r="B111" s="1" t="n">
        <v>44973</v>
      </c>
      <c r="C111" s="1" t="n">
        <v>45722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14400-2023</t>
        </is>
      </c>
      <c r="B112" s="1" t="n">
        <v>45012</v>
      </c>
      <c r="C112" s="1" t="n">
        <v>45722</v>
      </c>
      <c r="D112" t="inlineStr">
        <is>
          <t>SKÅNE LÄN</t>
        </is>
      </c>
      <c r="E112" t="inlineStr">
        <is>
          <t>ÄNGELHOLM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15154-2023</t>
        </is>
      </c>
      <c r="B113" s="1" t="n">
        <v>45016</v>
      </c>
      <c r="C113" s="1" t="n">
        <v>45722</v>
      </c>
      <c r="D113" t="inlineStr">
        <is>
          <t>SKÅNE LÄN</t>
        </is>
      </c>
      <c r="E113" t="inlineStr">
        <is>
          <t>ÄNGELHOLM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16419-2023</t>
        </is>
      </c>
      <c r="B114" s="1" t="n">
        <v>45022</v>
      </c>
      <c r="C114" s="1" t="n">
        <v>45722</v>
      </c>
      <c r="D114" t="inlineStr">
        <is>
          <t>SKÅNE LÄN</t>
        </is>
      </c>
      <c r="E114" t="inlineStr">
        <is>
          <t>ÄNGELHOLM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19091-2023</t>
        </is>
      </c>
      <c r="B115" s="1" t="n">
        <v>45048</v>
      </c>
      <c r="C115" s="1" t="n">
        <v>45722</v>
      </c>
      <c r="D115" t="inlineStr">
        <is>
          <t>SKÅNE LÄN</t>
        </is>
      </c>
      <c r="E115" t="inlineStr">
        <is>
          <t>ÄNGELHOLM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19140-2023</t>
        </is>
      </c>
      <c r="B116" s="1" t="n">
        <v>45048</v>
      </c>
      <c r="C116" s="1" t="n">
        <v>45722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21069-2023</t>
        </is>
      </c>
      <c r="B117" s="1" t="n">
        <v>45061</v>
      </c>
      <c r="C117" s="1" t="n">
        <v>45722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21488-2023</t>
        </is>
      </c>
      <c r="B118" s="1" t="n">
        <v>45061</v>
      </c>
      <c r="C118" s="1" t="n">
        <v>45722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21367-2023</t>
        </is>
      </c>
      <c r="B119" s="1" t="n">
        <v>45063</v>
      </c>
      <c r="C119" s="1" t="n">
        <v>45722</v>
      </c>
      <c r="D119" t="inlineStr">
        <is>
          <t>SKÅNE LÄN</t>
        </is>
      </c>
      <c r="E119" t="inlineStr">
        <is>
          <t>ÄNGELHOLM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21957-2023</t>
        </is>
      </c>
      <c r="B120" s="1" t="n">
        <v>45068</v>
      </c>
      <c r="C120" s="1" t="n">
        <v>45722</v>
      </c>
      <c r="D120" t="inlineStr">
        <is>
          <t>SKÅNE LÄN</t>
        </is>
      </c>
      <c r="E120" t="inlineStr">
        <is>
          <t>ÄNGELHOLM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22947-2023</t>
        </is>
      </c>
      <c r="B121" s="1" t="n">
        <v>45070</v>
      </c>
      <c r="C121" s="1" t="n">
        <v>45722</v>
      </c>
      <c r="D121" t="inlineStr">
        <is>
          <t>SKÅNE LÄN</t>
        </is>
      </c>
      <c r="E121" t="inlineStr">
        <is>
          <t>ÄNGELHOLM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23228-2023</t>
        </is>
      </c>
      <c r="B122" s="1" t="n">
        <v>45075</v>
      </c>
      <c r="C122" s="1" t="n">
        <v>45722</v>
      </c>
      <c r="D122" t="inlineStr">
        <is>
          <t>SKÅNE LÄN</t>
        </is>
      </c>
      <c r="E122" t="inlineStr">
        <is>
          <t>ÄNGELHOLM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23227-2023</t>
        </is>
      </c>
      <c r="B123" s="1" t="n">
        <v>45075</v>
      </c>
      <c r="C123" s="1" t="n">
        <v>45722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26255-2023</t>
        </is>
      </c>
      <c r="B124" s="1" t="n">
        <v>45091</v>
      </c>
      <c r="C124" s="1" t="n">
        <v>45722</v>
      </c>
      <c r="D124" t="inlineStr">
        <is>
          <t>SKÅNE LÄN</t>
        </is>
      </c>
      <c r="E124" t="inlineStr">
        <is>
          <t>ÄNGELHOLM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26259-2023</t>
        </is>
      </c>
      <c r="B125" s="1" t="n">
        <v>45091</v>
      </c>
      <c r="C125" s="1" t="n">
        <v>45722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45722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27551-2023</t>
        </is>
      </c>
      <c r="B127" s="1" t="n">
        <v>45097</v>
      </c>
      <c r="C127" s="1" t="n">
        <v>45722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28105-2023</t>
        </is>
      </c>
      <c r="B128" s="1" t="n">
        <v>45099</v>
      </c>
      <c r="C128" s="1" t="n">
        <v>45722</v>
      </c>
      <c r="D128" t="inlineStr">
        <is>
          <t>SKÅNE LÄN</t>
        </is>
      </c>
      <c r="E128" t="inlineStr">
        <is>
          <t>ÄNGELHOLM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28253-2023</t>
        </is>
      </c>
      <c r="B129" s="1" t="n">
        <v>45099</v>
      </c>
      <c r="C129" s="1" t="n">
        <v>45722</v>
      </c>
      <c r="D129" t="inlineStr">
        <is>
          <t>SKÅNE LÄN</t>
        </is>
      </c>
      <c r="E129" t="inlineStr">
        <is>
          <t>ÄNGELHOLM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28496-2023</t>
        </is>
      </c>
      <c r="B130" s="1" t="n">
        <v>45103</v>
      </c>
      <c r="C130" s="1" t="n">
        <v>45722</v>
      </c>
      <c r="D130" t="inlineStr">
        <is>
          <t>SKÅNE LÄN</t>
        </is>
      </c>
      <c r="E130" t="inlineStr">
        <is>
          <t>ÄNGELHOLM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31502-2023</t>
        </is>
      </c>
      <c r="B131" s="1" t="n">
        <v>45115</v>
      </c>
      <c r="C131" s="1" t="n">
        <v>45722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31503-2023</t>
        </is>
      </c>
      <c r="B132" s="1" t="n">
        <v>45115</v>
      </c>
      <c r="C132" s="1" t="n">
        <v>45722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31720-2023</t>
        </is>
      </c>
      <c r="B133" s="1" t="n">
        <v>45117</v>
      </c>
      <c r="C133" s="1" t="n">
        <v>45722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31709-2023</t>
        </is>
      </c>
      <c r="B134" s="1" t="n">
        <v>45117</v>
      </c>
      <c r="C134" s="1" t="n">
        <v>45722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31789-2023</t>
        </is>
      </c>
      <c r="B135" s="1" t="n">
        <v>45118</v>
      </c>
      <c r="C135" s="1" t="n">
        <v>45722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31907-2023</t>
        </is>
      </c>
      <c r="B136" s="1" t="n">
        <v>45118</v>
      </c>
      <c r="C136" s="1" t="n">
        <v>45722</v>
      </c>
      <c r="D136" t="inlineStr">
        <is>
          <t>SKÅNE LÄN</t>
        </is>
      </c>
      <c r="E136" t="inlineStr">
        <is>
          <t>ÄNGELHOLM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31836-2023</t>
        </is>
      </c>
      <c r="B137" s="1" t="n">
        <v>45118</v>
      </c>
      <c r="C137" s="1" t="n">
        <v>45722</v>
      </c>
      <c r="D137" t="inlineStr">
        <is>
          <t>SKÅNE LÄN</t>
        </is>
      </c>
      <c r="E137" t="inlineStr">
        <is>
          <t>ÄNGELHOLM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31908-2023</t>
        </is>
      </c>
      <c r="B138" s="1" t="n">
        <v>45118</v>
      </c>
      <c r="C138" s="1" t="n">
        <v>45722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32274-2023</t>
        </is>
      </c>
      <c r="B139" s="1" t="n">
        <v>45120</v>
      </c>
      <c r="C139" s="1" t="n">
        <v>45722</v>
      </c>
      <c r="D139" t="inlineStr">
        <is>
          <t>SKÅNE LÄN</t>
        </is>
      </c>
      <c r="E139" t="inlineStr">
        <is>
          <t>ÄNGELHOLM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32277-2023</t>
        </is>
      </c>
      <c r="B140" s="1" t="n">
        <v>45120</v>
      </c>
      <c r="C140" s="1" t="n">
        <v>45722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32364-2023</t>
        </is>
      </c>
      <c r="B141" s="1" t="n">
        <v>45120</v>
      </c>
      <c r="C141" s="1" t="n">
        <v>45722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32362-2023</t>
        </is>
      </c>
      <c r="B142" s="1" t="n">
        <v>45120</v>
      </c>
      <c r="C142" s="1" t="n">
        <v>45722</v>
      </c>
      <c r="D142" t="inlineStr">
        <is>
          <t>SKÅNE LÄN</t>
        </is>
      </c>
      <c r="E142" t="inlineStr">
        <is>
          <t>ÄNGELHOLM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45722</v>
      </c>
      <c r="D143" t="inlineStr">
        <is>
          <t>SKÅNE LÄN</t>
        </is>
      </c>
      <c r="E143" t="inlineStr">
        <is>
          <t>ÄNGELHOLM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32459-2023</t>
        </is>
      </c>
      <c r="B144" s="1" t="n">
        <v>45120</v>
      </c>
      <c r="C144" s="1" t="n">
        <v>45722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33188-2023</t>
        </is>
      </c>
      <c r="B145" s="1" t="n">
        <v>45127</v>
      </c>
      <c r="C145" s="1" t="n">
        <v>45722</v>
      </c>
      <c r="D145" t="inlineStr">
        <is>
          <t>SKÅNE LÄN</t>
        </is>
      </c>
      <c r="E145" t="inlineStr">
        <is>
          <t>ÄNGELHOLM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34514-2023</t>
        </is>
      </c>
      <c r="B146" s="1" t="n">
        <v>45140</v>
      </c>
      <c r="C146" s="1" t="n">
        <v>45722</v>
      </c>
      <c r="D146" t="inlineStr">
        <is>
          <t>SKÅNE LÄN</t>
        </is>
      </c>
      <c r="E146" t="inlineStr">
        <is>
          <t>ÄNGELHOLM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34513-2023</t>
        </is>
      </c>
      <c r="B147" s="1" t="n">
        <v>45140</v>
      </c>
      <c r="C147" s="1" t="n">
        <v>45722</v>
      </c>
      <c r="D147" t="inlineStr">
        <is>
          <t>SKÅNE LÄN</t>
        </is>
      </c>
      <c r="E147" t="inlineStr">
        <is>
          <t>ÄNGELHOLM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36940-2023</t>
        </is>
      </c>
      <c r="B148" s="1" t="n">
        <v>45154</v>
      </c>
      <c r="C148" s="1" t="n">
        <v>45722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39014-2023</t>
        </is>
      </c>
      <c r="B149" s="1" t="n">
        <v>45163</v>
      </c>
      <c r="C149" s="1" t="n">
        <v>45722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40278-2023</t>
        </is>
      </c>
      <c r="B150" s="1" t="n">
        <v>45169</v>
      </c>
      <c r="C150" s="1" t="n">
        <v>45722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40275-2023</t>
        </is>
      </c>
      <c r="B151" s="1" t="n">
        <v>45169</v>
      </c>
      <c r="C151" s="1" t="n">
        <v>45722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44448-2023</t>
        </is>
      </c>
      <c r="B152" s="1" t="n">
        <v>45189</v>
      </c>
      <c r="C152" s="1" t="n">
        <v>45722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48309-2023</t>
        </is>
      </c>
      <c r="B153" s="1" t="n">
        <v>45205</v>
      </c>
      <c r="C153" s="1" t="n">
        <v>45722</v>
      </c>
      <c r="D153" t="inlineStr">
        <is>
          <t>SKÅNE LÄN</t>
        </is>
      </c>
      <c r="E153" t="inlineStr">
        <is>
          <t>ÄNGELHOLM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50652-2023</t>
        </is>
      </c>
      <c r="B154" s="1" t="n">
        <v>45210</v>
      </c>
      <c r="C154" s="1" t="n">
        <v>45722</v>
      </c>
      <c r="D154" t="inlineStr">
        <is>
          <t>SKÅNE LÄN</t>
        </is>
      </c>
      <c r="E154" t="inlineStr">
        <is>
          <t>ÄNGELHOLM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54709-2023</t>
        </is>
      </c>
      <c r="B155" s="1" t="n">
        <v>45236</v>
      </c>
      <c r="C155" s="1" t="n">
        <v>45722</v>
      </c>
      <c r="D155" t="inlineStr">
        <is>
          <t>SKÅNE LÄN</t>
        </is>
      </c>
      <c r="E155" t="inlineStr">
        <is>
          <t>ÄNGELHOLM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57552-2023</t>
        </is>
      </c>
      <c r="B156" s="1" t="n">
        <v>45246</v>
      </c>
      <c r="C156" s="1" t="n">
        <v>45722</v>
      </c>
      <c r="D156" t="inlineStr">
        <is>
          <t>SKÅNE LÄN</t>
        </is>
      </c>
      <c r="E156" t="inlineStr">
        <is>
          <t>ÄNGELHOLM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58814-2023</t>
        </is>
      </c>
      <c r="B157" s="1" t="n">
        <v>45252</v>
      </c>
      <c r="C157" s="1" t="n">
        <v>45722</v>
      </c>
      <c r="D157" t="inlineStr">
        <is>
          <t>SKÅNE LÄN</t>
        </is>
      </c>
      <c r="E157" t="inlineStr">
        <is>
          <t>ÄNGELHOLM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60725-2023</t>
        </is>
      </c>
      <c r="B158" s="1" t="n">
        <v>45260</v>
      </c>
      <c r="C158" s="1" t="n">
        <v>45722</v>
      </c>
      <c r="D158" t="inlineStr">
        <is>
          <t>SKÅNE LÄN</t>
        </is>
      </c>
      <c r="E158" t="inlineStr">
        <is>
          <t>ÄNGELHOLM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61180-2023</t>
        </is>
      </c>
      <c r="B159" s="1" t="n">
        <v>45263</v>
      </c>
      <c r="C159" s="1" t="n">
        <v>45722</v>
      </c>
      <c r="D159" t="inlineStr">
        <is>
          <t>SKÅNE LÄN</t>
        </is>
      </c>
      <c r="E159" t="inlineStr">
        <is>
          <t>ÄNGELHOLM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45722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45722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45722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45722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45722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45722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45722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45722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45722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45722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45722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45722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45722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45722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45722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45722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45722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45722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45722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45722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45722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45722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45722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45722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45722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45722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45722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45722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45722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45722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45722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45722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45722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45722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45722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45722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45722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45722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46487-2024</t>
        </is>
      </c>
      <c r="B198" s="1" t="n">
        <v>45582</v>
      </c>
      <c r="C198" s="1" t="n">
        <v>45722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46613-2024</t>
        </is>
      </c>
      <c r="B199" s="1" t="n">
        <v>45583</v>
      </c>
      <c r="C199" s="1" t="n">
        <v>45722</v>
      </c>
      <c r="D199" t="inlineStr">
        <is>
          <t>SKÅNE LÄN</t>
        </is>
      </c>
      <c r="E199" t="inlineStr">
        <is>
          <t>ÄNGELHOLM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46702-2024</t>
        </is>
      </c>
      <c r="B200" s="1" t="n">
        <v>45583</v>
      </c>
      <c r="C200" s="1" t="n">
        <v>45722</v>
      </c>
      <c r="D200" t="inlineStr">
        <is>
          <t>SKÅNE LÄN</t>
        </is>
      </c>
      <c r="E200" t="inlineStr">
        <is>
          <t>ÄNGELHOLM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48197-2024</t>
        </is>
      </c>
      <c r="B201" s="1" t="n">
        <v>45590</v>
      </c>
      <c r="C201" s="1" t="n">
        <v>45722</v>
      </c>
      <c r="D201" t="inlineStr">
        <is>
          <t>SKÅNE LÄN</t>
        </is>
      </c>
      <c r="E201" t="inlineStr">
        <is>
          <t>ÄNGELHOLM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48743-2024</t>
        </is>
      </c>
      <c r="B202" s="1" t="n">
        <v>45593</v>
      </c>
      <c r="C202" s="1" t="n">
        <v>45722</v>
      </c>
      <c r="D202" t="inlineStr">
        <is>
          <t>SKÅNE LÄN</t>
        </is>
      </c>
      <c r="E202" t="inlineStr">
        <is>
          <t>ÄNGELHOLM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49206-2024</t>
        </is>
      </c>
      <c r="B203" s="1" t="n">
        <v>45595</v>
      </c>
      <c r="C203" s="1" t="n">
        <v>45722</v>
      </c>
      <c r="D203" t="inlineStr">
        <is>
          <t>SKÅNE LÄN</t>
        </is>
      </c>
      <c r="E203" t="inlineStr">
        <is>
          <t>ÄNGELHOLM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49200-2024</t>
        </is>
      </c>
      <c r="B204" s="1" t="n">
        <v>45595</v>
      </c>
      <c r="C204" s="1" t="n">
        <v>45722</v>
      </c>
      <c r="D204" t="inlineStr">
        <is>
          <t>SKÅNE LÄN</t>
        </is>
      </c>
      <c r="E204" t="inlineStr">
        <is>
          <t>ÄNGELHOLM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49610-2024</t>
        </is>
      </c>
      <c r="B205" s="1" t="n">
        <v>45596</v>
      </c>
      <c r="C205" s="1" t="n">
        <v>45722</v>
      </c>
      <c r="D205" t="inlineStr">
        <is>
          <t>SKÅNE LÄN</t>
        </is>
      </c>
      <c r="E205" t="inlineStr">
        <is>
          <t>ÄNGELHOLM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50869-2024</t>
        </is>
      </c>
      <c r="B206" s="1" t="n">
        <v>45602</v>
      </c>
      <c r="C206" s="1" t="n">
        <v>45722</v>
      </c>
      <c r="D206" t="inlineStr">
        <is>
          <t>SKÅNE LÄN</t>
        </is>
      </c>
      <c r="E206" t="inlineStr">
        <is>
          <t>ÄNGELHOLM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51129-2024</t>
        </is>
      </c>
      <c r="B207" s="1" t="n">
        <v>45603</v>
      </c>
      <c r="C207" s="1" t="n">
        <v>45722</v>
      </c>
      <c r="D207" t="inlineStr">
        <is>
          <t>SKÅNE LÄN</t>
        </is>
      </c>
      <c r="E207" t="inlineStr">
        <is>
          <t>ÄNGELHOLM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55529-2024</t>
        </is>
      </c>
      <c r="B208" s="1" t="n">
        <v>45622</v>
      </c>
      <c r="C208" s="1" t="n">
        <v>45722</v>
      </c>
      <c r="D208" t="inlineStr">
        <is>
          <t>SKÅNE LÄN</t>
        </is>
      </c>
      <c r="E208" t="inlineStr">
        <is>
          <t>ÄNGELHOLM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55748-2024</t>
        </is>
      </c>
      <c r="B209" s="1" t="n">
        <v>45623</v>
      </c>
      <c r="C209" s="1" t="n">
        <v>45722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57819-2024</t>
        </is>
      </c>
      <c r="B210" s="1" t="n">
        <v>45631</v>
      </c>
      <c r="C210" s="1" t="n">
        <v>45722</v>
      </c>
      <c r="D210" t="inlineStr">
        <is>
          <t>SKÅNE LÄN</t>
        </is>
      </c>
      <c r="E210" t="inlineStr">
        <is>
          <t>ÄNGELHOLM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57923-2024</t>
        </is>
      </c>
      <c r="B211" s="1" t="n">
        <v>45631</v>
      </c>
      <c r="C211" s="1" t="n">
        <v>45722</v>
      </c>
      <c r="D211" t="inlineStr">
        <is>
          <t>SKÅNE LÄN</t>
        </is>
      </c>
      <c r="E211" t="inlineStr">
        <is>
          <t>ÄNGELHOLM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58150-2024</t>
        </is>
      </c>
      <c r="B212" s="1" t="n">
        <v>45632</v>
      </c>
      <c r="C212" s="1" t="n">
        <v>45722</v>
      </c>
      <c r="D212" t="inlineStr">
        <is>
          <t>SKÅNE LÄN</t>
        </is>
      </c>
      <c r="E212" t="inlineStr">
        <is>
          <t>ÄNGELHOLM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584-2025</t>
        </is>
      </c>
      <c r="B213" s="1" t="n">
        <v>45664</v>
      </c>
      <c r="C213" s="1" t="n">
        <v>45722</v>
      </c>
      <c r="D213" t="inlineStr">
        <is>
          <t>SKÅNE LÄN</t>
        </is>
      </c>
      <c r="E213" t="inlineStr">
        <is>
          <t>ÄNGELHOLM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45722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45722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45722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45722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45722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45722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45722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7551-2025</t>
        </is>
      </c>
      <c r="B221" s="1" t="n">
        <v>45705</v>
      </c>
      <c r="C221" s="1" t="n">
        <v>45722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45722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45722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45722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45722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45722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10454-2025</t>
        </is>
      </c>
      <c r="B227" s="1" t="n">
        <v>45720</v>
      </c>
      <c r="C227" s="1" t="n">
        <v>45722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2025-03-06T16:41:26Z</dcterms:created>
  <dcterms:modified xmlns:dcterms="http://purl.org/dc/terms/" xmlns:xsi="http://www.w3.org/2001/XMLSchema-instance" xsi:type="dcterms:W3CDTF">2025-03-06T16:41:26Z</dcterms:modified>
</cp:coreProperties>
</file>