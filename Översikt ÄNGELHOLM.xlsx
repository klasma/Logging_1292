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46106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46106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46106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46106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46106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46106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46106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46106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46106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46106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46106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46106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46106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46487-2024</t>
        </is>
      </c>
      <c r="B16" s="1" t="n">
        <v>45582</v>
      </c>
      <c r="C16" s="1" t="n">
        <v>46106</v>
      </c>
      <c r="D16" t="inlineStr">
        <is>
          <t>SKÅNE LÄN</t>
        </is>
      </c>
      <c r="E16" t="inlineStr">
        <is>
          <t>ÄNGELHOLM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HYPERLINK("https://klasma.github.io/Logging_1292/artfynd/A 46487-2024 artfynd.xlsx", "A 46487-2024")</f>
        <v/>
      </c>
      <c r="T16">
        <f>HYPERLINK("https://klasma.github.io/Logging_1292/kartor/A 46487-2024 karta.png", "A 46487-2024")</f>
        <v/>
      </c>
      <c r="V16">
        <f>HYPERLINK("https://klasma.github.io/Logging_1292/klagomål/A 46487-2024 FSC-klagomål.docx", "A 46487-2024")</f>
        <v/>
      </c>
      <c r="W16">
        <f>HYPERLINK("https://klasma.github.io/Logging_1292/klagomålsmail/A 46487-2024 FSC-klagomål mail.docx", "A 46487-2024")</f>
        <v/>
      </c>
      <c r="X16">
        <f>HYPERLINK("https://klasma.github.io/Logging_1292/tillsyn/A 46487-2024 tillsynsbegäran.docx", "A 46487-2024")</f>
        <v/>
      </c>
      <c r="Y16">
        <f>HYPERLINK("https://klasma.github.io/Logging_1292/tillsynsmail/A 46487-2024 tillsynsbegäran mail.docx", "A 46487-2024")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46106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8133-2026</t>
        </is>
      </c>
      <c r="B18" s="1" t="n">
        <v>46064.30774305556</v>
      </c>
      <c r="C18" s="1" t="n">
        <v>46106</v>
      </c>
      <c r="D18" t="inlineStr">
        <is>
          <t>SKÅNE LÄN</t>
        </is>
      </c>
      <c r="E18" t="inlineStr">
        <is>
          <t>ÄNGELHOLM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HYPERLINK("https://klasma.github.io/Logging_1292/artfynd/A 8133-2026 artfynd.xlsx", "A 8133-2026")</f>
        <v/>
      </c>
      <c r="T18">
        <f>HYPERLINK("https://klasma.github.io/Logging_1292/kartor/A 8133-2026 karta.png", "A 8133-2026")</f>
        <v/>
      </c>
      <c r="V18">
        <f>HYPERLINK("https://klasma.github.io/Logging_1292/klagomål/A 8133-2026 FSC-klagomål.docx", "A 8133-2026")</f>
        <v/>
      </c>
      <c r="W18">
        <f>HYPERLINK("https://klasma.github.io/Logging_1292/klagomålsmail/A 8133-2026 FSC-klagomål mail.docx", "A 8133-2026")</f>
        <v/>
      </c>
      <c r="X18">
        <f>HYPERLINK("https://klasma.github.io/Logging_1292/tillsyn/A 8133-2026 tillsynsbegäran.docx", "A 8133-2026")</f>
        <v/>
      </c>
      <c r="Y18">
        <f>HYPERLINK("https://klasma.github.io/Logging_1292/tillsynsmail/A 8133-2026 tillsynsbegäran mail.docx", "A 8133-2026")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46106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46106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46106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46106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46106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46106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46106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46106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46106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46106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46106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46106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46106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46106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46106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46106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46106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46106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46106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46106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46106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46106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46106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46106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6667-2025</t>
        </is>
      </c>
      <c r="B46" s="1" t="n">
        <v>45700.46334490741</v>
      </c>
      <c r="C46" s="1" t="n">
        <v>46106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27544-2024</t>
        </is>
      </c>
      <c r="B47" s="1" t="n">
        <v>45474</v>
      </c>
      <c r="C47" s="1" t="n">
        <v>46106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46702-2024</t>
        </is>
      </c>
      <c r="B48" s="1" t="n">
        <v>45583</v>
      </c>
      <c r="C48" s="1" t="n">
        <v>46106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5046-2022</t>
        </is>
      </c>
      <c r="B49" s="1" t="n">
        <v>44593.68116898148</v>
      </c>
      <c r="C49" s="1" t="n">
        <v>46106</v>
      </c>
      <c r="D49" t="inlineStr">
        <is>
          <t>SKÅNE LÄN</t>
        </is>
      </c>
      <c r="E49" t="inlineStr">
        <is>
          <t>ÄNGELHOLM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46106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46106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46106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46106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45463.71800925926</v>
      </c>
      <c r="C54" s="1" t="n">
        <v>46106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46106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38848-2025</t>
        </is>
      </c>
      <c r="B56" s="1" t="n">
        <v>45887</v>
      </c>
      <c r="C56" s="1" t="n">
        <v>46106</v>
      </c>
      <c r="D56" t="inlineStr">
        <is>
          <t>SKÅNE LÄN</t>
        </is>
      </c>
      <c r="E56" t="inlineStr">
        <is>
          <t>ÄNGELHOLM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55529-2024</t>
        </is>
      </c>
      <c r="B57" s="1" t="n">
        <v>45622.48444444445</v>
      </c>
      <c r="C57" s="1" t="n">
        <v>46106</v>
      </c>
      <c r="D57" t="inlineStr">
        <is>
          <t>SKÅNE LÄN</t>
        </is>
      </c>
      <c r="E57" t="inlineStr">
        <is>
          <t>ÄNGELHOLM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46106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8139-2025</t>
        </is>
      </c>
      <c r="B59" s="1" t="n">
        <v>45708.2620949074</v>
      </c>
      <c r="C59" s="1" t="n">
        <v>46106</v>
      </c>
      <c r="D59" t="inlineStr">
        <is>
          <t>SKÅNE LÄN</t>
        </is>
      </c>
      <c r="E59" t="inlineStr">
        <is>
          <t>ÄNGELHOLM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46106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44448-2023</t>
        </is>
      </c>
      <c r="B61" s="1" t="n">
        <v>45189</v>
      </c>
      <c r="C61" s="1" t="n">
        <v>46106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41166-2025</t>
        </is>
      </c>
      <c r="B62" s="1" t="n">
        <v>45898</v>
      </c>
      <c r="C62" s="1" t="n">
        <v>46106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46106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23328-2022</t>
        </is>
      </c>
      <c r="B64" s="1" t="n">
        <v>44720.50751157408</v>
      </c>
      <c r="C64" s="1" t="n">
        <v>46106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11384-2026</t>
        </is>
      </c>
      <c r="B65" s="1" t="n">
        <v>46083</v>
      </c>
      <c r="C65" s="1" t="n">
        <v>46106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7859-2026</t>
        </is>
      </c>
      <c r="B66" s="1" t="n">
        <v>46062.68539351852</v>
      </c>
      <c r="C66" s="1" t="n">
        <v>46106</v>
      </c>
      <c r="D66" t="inlineStr">
        <is>
          <t>SKÅNE LÄN</t>
        </is>
      </c>
      <c r="E66" t="inlineStr">
        <is>
          <t>ÄNGELHOLM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32020-2025</t>
        </is>
      </c>
      <c r="B67" s="1" t="n">
        <v>45835.4065625</v>
      </c>
      <c r="C67" s="1" t="n">
        <v>46106</v>
      </c>
      <c r="D67" t="inlineStr">
        <is>
          <t>SKÅNE LÄN</t>
        </is>
      </c>
      <c r="E67" t="inlineStr">
        <is>
          <t>ÄNGELHOLM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15154-2023</t>
        </is>
      </c>
      <c r="B68" s="1" t="n">
        <v>45016</v>
      </c>
      <c r="C68" s="1" t="n">
        <v>46106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46286-2024</t>
        </is>
      </c>
      <c r="B69" s="1" t="n">
        <v>45581</v>
      </c>
      <c r="C69" s="1" t="n">
        <v>46106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7856-2026</t>
        </is>
      </c>
      <c r="B70" s="1" t="n">
        <v>46062.67539351852</v>
      </c>
      <c r="C70" s="1" t="n">
        <v>46106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55544-2022</t>
        </is>
      </c>
      <c r="B71" s="1" t="n">
        <v>44887</v>
      </c>
      <c r="C71" s="1" t="n">
        <v>46106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46106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13662-2025</t>
        </is>
      </c>
      <c r="B73" s="1" t="n">
        <v>45736.77020833334</v>
      </c>
      <c r="C73" s="1" t="n">
        <v>46106</v>
      </c>
      <c r="D73" t="inlineStr">
        <is>
          <t>SKÅNE LÄN</t>
        </is>
      </c>
      <c r="E73" t="inlineStr">
        <is>
          <t>ÄNGELHOLM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43857-2025</t>
        </is>
      </c>
      <c r="B74" s="1" t="n">
        <v>45912.64872685185</v>
      </c>
      <c r="C74" s="1" t="n">
        <v>46106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46106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7337-2024</t>
        </is>
      </c>
      <c r="B76" s="1" t="n">
        <v>45345</v>
      </c>
      <c r="C76" s="1" t="n">
        <v>46106</v>
      </c>
      <c r="D76" t="inlineStr">
        <is>
          <t>SKÅNE LÄN</t>
        </is>
      </c>
      <c r="E76" t="inlineStr">
        <is>
          <t>ÄNGELHOLM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49610-2024</t>
        </is>
      </c>
      <c r="B77" s="1" t="n">
        <v>45596</v>
      </c>
      <c r="C77" s="1" t="n">
        <v>46106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13235-2025</t>
        </is>
      </c>
      <c r="B78" s="1" t="n">
        <v>45735</v>
      </c>
      <c r="C78" s="1" t="n">
        <v>46106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13243-2025</t>
        </is>
      </c>
      <c r="B79" s="1" t="n">
        <v>45735</v>
      </c>
      <c r="C79" s="1" t="n">
        <v>46106</v>
      </c>
      <c r="D79" t="inlineStr">
        <is>
          <t>SKÅNE LÄN</t>
        </is>
      </c>
      <c r="E79" t="inlineStr">
        <is>
          <t>ÄNGELHOLM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49885-2022</t>
        </is>
      </c>
      <c r="B80" s="1" t="n">
        <v>44864</v>
      </c>
      <c r="C80" s="1" t="n">
        <v>46106</v>
      </c>
      <c r="D80" t="inlineStr">
        <is>
          <t>SKÅNE LÄN</t>
        </is>
      </c>
      <c r="E80" t="inlineStr">
        <is>
          <t>ÄNGELHOLM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4088-2024</t>
        </is>
      </c>
      <c r="B81" s="1" t="n">
        <v>45323</v>
      </c>
      <c r="C81" s="1" t="n">
        <v>46106</v>
      </c>
      <c r="D81" t="inlineStr">
        <is>
          <t>SKÅNE LÄN</t>
        </is>
      </c>
      <c r="E81" t="inlineStr">
        <is>
          <t>ÄNGELHOLM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46106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7811-2023</t>
        </is>
      </c>
      <c r="B83" s="1" t="n">
        <v>44973</v>
      </c>
      <c r="C83" s="1" t="n">
        <v>46106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58137-2022</t>
        </is>
      </c>
      <c r="B84" s="1" t="n">
        <v>44900.69418981481</v>
      </c>
      <c r="C84" s="1" t="n">
        <v>46106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46106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46106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47176-2025</t>
        </is>
      </c>
      <c r="B87" s="1" t="n">
        <v>45930</v>
      </c>
      <c r="C87" s="1" t="n">
        <v>46106</v>
      </c>
      <c r="D87" t="inlineStr">
        <is>
          <t>SKÅNE LÄN</t>
        </is>
      </c>
      <c r="E87" t="inlineStr">
        <is>
          <t>ÄNGELHOLM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50652-2023</t>
        </is>
      </c>
      <c r="B88" s="1" t="n">
        <v>45210</v>
      </c>
      <c r="C88" s="1" t="n">
        <v>46106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24855-2024</t>
        </is>
      </c>
      <c r="B89" s="1" t="n">
        <v>45461.46796296296</v>
      </c>
      <c r="C89" s="1" t="n">
        <v>46106</v>
      </c>
      <c r="D89" t="inlineStr">
        <is>
          <t>SKÅNE LÄN</t>
        </is>
      </c>
      <c r="E89" t="inlineStr">
        <is>
          <t>ÄNGELHOLM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46106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25129-2024</t>
        </is>
      </c>
      <c r="B91" s="1" t="n">
        <v>45462.46355324074</v>
      </c>
      <c r="C91" s="1" t="n">
        <v>46106</v>
      </c>
      <c r="D91" t="inlineStr">
        <is>
          <t>SKÅNE LÄN</t>
        </is>
      </c>
      <c r="E91" t="inlineStr">
        <is>
          <t>ÄNGELHOLM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38856-2025</t>
        </is>
      </c>
      <c r="B92" s="1" t="n">
        <v>45887</v>
      </c>
      <c r="C92" s="1" t="n">
        <v>46106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4755-2024</t>
        </is>
      </c>
      <c r="B93" s="1" t="n">
        <v>45328.66599537037</v>
      </c>
      <c r="C93" s="1" t="n">
        <v>46106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14400-2023</t>
        </is>
      </c>
      <c r="B94" s="1" t="n">
        <v>45012</v>
      </c>
      <c r="C94" s="1" t="n">
        <v>46106</v>
      </c>
      <c r="D94" t="inlineStr">
        <is>
          <t>SKÅNE LÄN</t>
        </is>
      </c>
      <c r="E94" t="inlineStr">
        <is>
          <t>ÄNGELHOLM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7707-2025</t>
        </is>
      </c>
      <c r="B95" s="1" t="n">
        <v>45705</v>
      </c>
      <c r="C95" s="1" t="n">
        <v>46106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23227-2023</t>
        </is>
      </c>
      <c r="B96" s="1" t="n">
        <v>45075</v>
      </c>
      <c r="C96" s="1" t="n">
        <v>46106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9578-2025</t>
        </is>
      </c>
      <c r="B97" s="1" t="n">
        <v>45715.62634259259</v>
      </c>
      <c r="C97" s="1" t="n">
        <v>46106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52519-2025</t>
        </is>
      </c>
      <c r="B98" s="1" t="n">
        <v>45954.51563657408</v>
      </c>
      <c r="C98" s="1" t="n">
        <v>46106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8882-2025</t>
        </is>
      </c>
      <c r="B99" s="1" t="n">
        <v>45713</v>
      </c>
      <c r="C99" s="1" t="n">
        <v>46106</v>
      </c>
      <c r="D99" t="inlineStr">
        <is>
          <t>SKÅNE LÄN</t>
        </is>
      </c>
      <c r="E99" t="inlineStr">
        <is>
          <t>ÄNGELHOLM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55728-2025</t>
        </is>
      </c>
      <c r="B100" s="1" t="n">
        <v>45972</v>
      </c>
      <c r="C100" s="1" t="n">
        <v>46106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55707-2025</t>
        </is>
      </c>
      <c r="B101" s="1" t="n">
        <v>45972</v>
      </c>
      <c r="C101" s="1" t="n">
        <v>46106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12150-2024</t>
        </is>
      </c>
      <c r="B102" s="1" t="n">
        <v>45377</v>
      </c>
      <c r="C102" s="1" t="n">
        <v>46106</v>
      </c>
      <c r="D102" t="inlineStr">
        <is>
          <t>SKÅNE LÄN</t>
        </is>
      </c>
      <c r="E102" t="inlineStr">
        <is>
          <t>ÄNGELHOLM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46106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46106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46106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46106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46106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57725-2025</t>
        </is>
      </c>
      <c r="B108" s="1" t="n">
        <v>45981</v>
      </c>
      <c r="C108" s="1" t="n">
        <v>46106</v>
      </c>
      <c r="D108" t="inlineStr">
        <is>
          <t>SKÅNE LÄN</t>
        </is>
      </c>
      <c r="E108" t="inlineStr">
        <is>
          <t>ÄNGELHOLM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4089-2024</t>
        </is>
      </c>
      <c r="B109" s="1" t="n">
        <v>45323</v>
      </c>
      <c r="C109" s="1" t="n">
        <v>46106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28496-2023</t>
        </is>
      </c>
      <c r="B110" s="1" t="n">
        <v>45103.45262731481</v>
      </c>
      <c r="C110" s="1" t="n">
        <v>46106</v>
      </c>
      <c r="D110" t="inlineStr">
        <is>
          <t>SKÅNE LÄN</t>
        </is>
      </c>
      <c r="E110" t="inlineStr">
        <is>
          <t>ÄNGELHOLM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60227-2025</t>
        </is>
      </c>
      <c r="B111" s="1" t="n">
        <v>45994</v>
      </c>
      <c r="C111" s="1" t="n">
        <v>46106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46106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46106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46106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46106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46106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9055-2026</t>
        </is>
      </c>
      <c r="B117" s="1" t="n">
        <v>46069.55903935185</v>
      </c>
      <c r="C117" s="1" t="n">
        <v>46106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46106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46106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46106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46106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46106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46106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9803-2026</t>
        </is>
      </c>
      <c r="B124" s="1" t="n">
        <v>46072</v>
      </c>
      <c r="C124" s="1" t="n">
        <v>46106</v>
      </c>
      <c r="D124" t="inlineStr">
        <is>
          <t>SKÅNE LÄN</t>
        </is>
      </c>
      <c r="E124" t="inlineStr">
        <is>
          <t>ÄNGELHOLM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46106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2505-2026</t>
        </is>
      </c>
      <c r="B126" s="1" t="n">
        <v>46037.41112268518</v>
      </c>
      <c r="C126" s="1" t="n">
        <v>46106</v>
      </c>
      <c r="D126" t="inlineStr">
        <is>
          <t>SKÅNE LÄN</t>
        </is>
      </c>
      <c r="E126" t="inlineStr">
        <is>
          <t>ÄNGELHOLM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46106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46106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46106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4977-2026</t>
        </is>
      </c>
      <c r="B130" s="1" t="n">
        <v>46047</v>
      </c>
      <c r="C130" s="1" t="n">
        <v>46106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46106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12768-2026</t>
        </is>
      </c>
      <c r="B132" s="1" t="n">
        <v>46091.67167824074</v>
      </c>
      <c r="C132" s="1" t="n">
        <v>46106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46106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13277-2026</t>
        </is>
      </c>
      <c r="B134" s="1" t="n">
        <v>46093.74275462963</v>
      </c>
      <c r="C134" s="1" t="n">
        <v>46106</v>
      </c>
      <c r="D134" t="inlineStr">
        <is>
          <t>SKÅNE LÄN</t>
        </is>
      </c>
      <c r="E134" t="inlineStr">
        <is>
          <t>ÄNGELHOLM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45117.89738425926</v>
      </c>
      <c r="C135" s="1" t="n">
        <v>46106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13278-2026</t>
        </is>
      </c>
      <c r="B136" s="1" t="n">
        <v>46093.74434027778</v>
      </c>
      <c r="C136" s="1" t="n">
        <v>46106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16314-2024</t>
        </is>
      </c>
      <c r="B137" s="1" t="n">
        <v>45407</v>
      </c>
      <c r="C137" s="1" t="n">
        <v>46106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46106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34514-2023</t>
        </is>
      </c>
      <c r="B139" s="1" t="n">
        <v>45140.38099537037</v>
      </c>
      <c r="C139" s="1" t="n">
        <v>46106</v>
      </c>
      <c r="D139" t="inlineStr">
        <is>
          <t>SKÅNE LÄN</t>
        </is>
      </c>
      <c r="E139" t="inlineStr">
        <is>
          <t>ÄNGELHOLM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46613-2024</t>
        </is>
      </c>
      <c r="B140" s="1" t="n">
        <v>45583</v>
      </c>
      <c r="C140" s="1" t="n">
        <v>46106</v>
      </c>
      <c r="D140" t="inlineStr">
        <is>
          <t>SKÅNE LÄN</t>
        </is>
      </c>
      <c r="E140" t="inlineStr">
        <is>
          <t>ÄNGELHOLM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23976-2024</t>
        </is>
      </c>
      <c r="B141" s="1" t="n">
        <v>45456.30621527778</v>
      </c>
      <c r="C141" s="1" t="n">
        <v>46106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40278-2023</t>
        </is>
      </c>
      <c r="B142" s="1" t="n">
        <v>45169</v>
      </c>
      <c r="C142" s="1" t="n">
        <v>46106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7871-2025</t>
        </is>
      </c>
      <c r="B143" s="1" t="n">
        <v>45706</v>
      </c>
      <c r="C143" s="1" t="n">
        <v>46106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46106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29436-2024</t>
        </is>
      </c>
      <c r="B145" s="1" t="n">
        <v>45483.78387731482</v>
      </c>
      <c r="C145" s="1" t="n">
        <v>46106</v>
      </c>
      <c r="D145" t="inlineStr">
        <is>
          <t>SKÅNE LÄN</t>
        </is>
      </c>
      <c r="E145" t="inlineStr">
        <is>
          <t>ÄNGELHOLM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46106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28264-2022</t>
        </is>
      </c>
      <c r="B147" s="1" t="n">
        <v>44746</v>
      </c>
      <c r="C147" s="1" t="n">
        <v>46106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31709-2023</t>
        </is>
      </c>
      <c r="B148" s="1" t="n">
        <v>45117</v>
      </c>
      <c r="C148" s="1" t="n">
        <v>46106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8665-2022</t>
        </is>
      </c>
      <c r="B149" s="1" t="n">
        <v>44613</v>
      </c>
      <c r="C149" s="1" t="n">
        <v>46106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60-2024</t>
        </is>
      </c>
      <c r="B150" s="1" t="n">
        <v>45293</v>
      </c>
      <c r="C150" s="1" t="n">
        <v>46106</v>
      </c>
      <c r="D150" t="inlineStr">
        <is>
          <t>SKÅNE LÄN</t>
        </is>
      </c>
      <c r="E150" t="inlineStr">
        <is>
          <t>ÄNGELHOLM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607-2024</t>
        </is>
      </c>
      <c r="B151" s="1" t="n">
        <v>45299</v>
      </c>
      <c r="C151" s="1" t="n">
        <v>46106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49206-2024</t>
        </is>
      </c>
      <c r="B152" s="1" t="n">
        <v>45595.36711805555</v>
      </c>
      <c r="C152" s="1" t="n">
        <v>46106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19503-2022</t>
        </is>
      </c>
      <c r="B153" s="1" t="n">
        <v>44693</v>
      </c>
      <c r="C153" s="1" t="n">
        <v>46106</v>
      </c>
      <c r="D153" t="inlineStr">
        <is>
          <t>SKÅNE LÄN</t>
        </is>
      </c>
      <c r="E153" t="inlineStr">
        <is>
          <t>ÄNGELHOLM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57923-2024</t>
        </is>
      </c>
      <c r="B154" s="1" t="n">
        <v>45631</v>
      </c>
      <c r="C154" s="1" t="n">
        <v>46106</v>
      </c>
      <c r="D154" t="inlineStr">
        <is>
          <t>SKÅNE LÄN</t>
        </is>
      </c>
      <c r="E154" t="inlineStr">
        <is>
          <t>ÄNGELHOLM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308-2023</t>
        </is>
      </c>
      <c r="B155" s="1" t="n">
        <v>44929</v>
      </c>
      <c r="C155" s="1" t="n">
        <v>46106</v>
      </c>
      <c r="D155" t="inlineStr">
        <is>
          <t>SKÅNE LÄN</t>
        </is>
      </c>
      <c r="E155" t="inlineStr">
        <is>
          <t>ÄNGELHOLM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46106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46106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46106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46106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46106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2026-03-25T11:36:17Z</dcterms:created>
  <dcterms:modified xmlns:dcterms="http://purl.org/dc/terms/" xmlns:xsi="http://www.w3.org/2001/XMLSchema-instance" xsi:type="dcterms:W3CDTF">2026-03-25T11:36:17Z</dcterms:modified>
</cp:coreProperties>
</file>