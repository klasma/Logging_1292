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46230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46230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46230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46230</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46230</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46230</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3317-2026</t>
        </is>
      </c>
      <c r="B19" t="inlineStr">
        <is>
          <t>avverkningsanmälan</t>
        </is>
      </c>
      <c r="C19" t="inlineStr">
        <is>
          <t>Föryngringsavverkning</t>
        </is>
      </c>
      <c r="D19" s="1" t="n">
        <v>46041</v>
      </c>
      <c r="E19" s="1" t="n">
        <v>46230</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50684-2023</t>
        </is>
      </c>
      <c r="B20" t="inlineStr">
        <is>
          <t>avverkningsanmälan</t>
        </is>
      </c>
      <c r="C20" t="inlineStr">
        <is>
          <t>Föryngringsavverkning</t>
        </is>
      </c>
      <c r="D20" s="1" t="n">
        <v>45210</v>
      </c>
      <c r="E20" s="1" t="n">
        <v>46230</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46230</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31907-2023</t>
        </is>
      </c>
      <c r="B22" t="inlineStr">
        <is>
          <t>avverkningsanmälan</t>
        </is>
      </c>
      <c r="C22" t="inlineStr">
        <is>
          <t>Föryngringsavverkning</t>
        </is>
      </c>
      <c r="D22" s="1" t="n">
        <v>45118</v>
      </c>
      <c r="E22" s="1" t="n">
        <v>46230</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46230</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46230</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46230</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46230</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46230</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46230</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46230</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46230</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46230</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46230</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46230</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46230</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46230</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27094-2026</t>
        </is>
      </c>
      <c r="B36" t="inlineStr">
        <is>
          <t>avverkningsanmälan</t>
        </is>
      </c>
      <c r="C36" t="inlineStr">
        <is>
          <t>Föryngringsavverkning</t>
        </is>
      </c>
      <c r="D36" s="1" t="n">
        <v>46188</v>
      </c>
      <c r="E36" s="1" t="n">
        <v>46230</v>
      </c>
      <c r="F36" t="inlineStr">
        <is>
          <t>SKÅNE LÄN</t>
        </is>
      </c>
      <c r="G36" t="inlineStr">
        <is>
          <t>ÄNGELHOLM</t>
        </is>
      </c>
      <c r="I36" t="n">
        <v>6.2</v>
      </c>
      <c r="J36" t="n">
        <v>0</v>
      </c>
      <c r="K36" t="n">
        <v>1</v>
      </c>
      <c r="L36" t="n">
        <v>0</v>
      </c>
      <c r="M36" t="n">
        <v>0</v>
      </c>
      <c r="N36" t="n">
        <v>0</v>
      </c>
      <c r="O36" t="n">
        <v>0</v>
      </c>
      <c r="P36" t="n">
        <v>0</v>
      </c>
      <c r="Q36" t="n">
        <v>0</v>
      </c>
      <c r="R36" t="n">
        <v>0</v>
      </c>
      <c r="S36" t="n">
        <v>1</v>
      </c>
      <c r="T36" t="n">
        <v>1</v>
      </c>
      <c r="U36" t="n">
        <v>0</v>
      </c>
      <c r="V36" s="2" t="inlineStr">
        <is>
          <t>Västlig hakmossa</t>
        </is>
      </c>
      <c r="W36">
        <f>HYPERLINK("https://klasma.github.io/Logging_1292/artfynd/A 27094-2026 artfynd.xlsx", "A 27094-2026")</f>
        <v/>
      </c>
      <c r="X36">
        <f>HYPERLINK("https://klasma.github.io/Logging_1292/kartor/A 27094-2026 karta.png", "A 27094-2026")</f>
        <v/>
      </c>
      <c r="Y36">
        <f>HYPERLINK("https://klasma.github.io/Logging_1292/kartor_geotiff/A 27094-2026 georefererad karta.tif", "A 27094-2026")</f>
        <v/>
      </c>
      <c r="AA36">
        <f>HYPERLINK("https://klasma.github.io/Logging_1292/klagomål/A 27094-2026 FSC-klagomål.docx", "A 27094-2026")</f>
        <v/>
      </c>
      <c r="AB36">
        <f>HYPERLINK("https://klasma.github.io/Logging_1292/klagomålsmail/A 27094-2026 FSC-klagomål mail.docx", "A 27094-2026")</f>
        <v/>
      </c>
      <c r="AC36">
        <f>HYPERLINK("https://klasma.github.io/Logging_1292/tillsyn/A 27094-2026 tillsynsbegäran.docx", "A 27094-2026")</f>
        <v/>
      </c>
      <c r="AD36">
        <f>HYPERLINK("https://klasma.github.io/Logging_1292/tillsynsmail/A 27094-2026 tillsynsbegäran mail.docx", "A 27094-2026")</f>
        <v/>
      </c>
    </row>
    <row r="37" ht="15" customHeight="1">
      <c r="A37" t="inlineStr">
        <is>
          <t>A 12150-2024</t>
        </is>
      </c>
      <c r="B37" t="inlineStr">
        <is>
          <t>avverkningsanmälan</t>
        </is>
      </c>
      <c r="C37" t="inlineStr">
        <is>
          <t>Föryngringsavverkning</t>
        </is>
      </c>
      <c r="D37" s="1" t="n">
        <v>45377</v>
      </c>
      <c r="E37" s="1" t="n">
        <v>46230</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46230</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46230</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31599-2026</t>
        </is>
      </c>
      <c r="B40" t="inlineStr">
        <is>
          <t>avverkningsanmälan</t>
        </is>
      </c>
      <c r="C40" t="inlineStr">
        <is>
          <t>Föryngringsavverkning</t>
        </is>
      </c>
      <c r="D40" s="1" t="n">
        <v>46224</v>
      </c>
      <c r="E40" s="1" t="n">
        <v>46230</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46487-2024</t>
        </is>
      </c>
      <c r="B41" t="inlineStr">
        <is>
          <t>avverkningsanmälan</t>
        </is>
      </c>
      <c r="C41" t="inlineStr">
        <is>
          <t>Föryngringsavverkning</t>
        </is>
      </c>
      <c r="D41" s="1" t="n">
        <v>45582</v>
      </c>
      <c r="E41" s="1" t="n">
        <v>46230</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46230</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46230</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46230</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46230</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46230</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46230</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46230</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46230</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46230</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46230</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46230</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46230</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46230</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46230</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46230</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46230</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46230</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46230</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46230</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46230</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46230</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46230</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46230</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46230</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23328-2022</t>
        </is>
      </c>
      <c r="B68" t="inlineStr">
        <is>
          <t>avverkningsanmälan</t>
        </is>
      </c>
      <c r="C68" t="inlineStr">
        <is>
          <t>Föryngringsavverkning</t>
        </is>
      </c>
      <c r="D68" s="1" t="n">
        <v>44720</v>
      </c>
      <c r="E68" s="1" t="n">
        <v>46230</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44448-2023</t>
        </is>
      </c>
      <c r="B69" t="inlineStr">
        <is>
          <t>avverkningsanmälan</t>
        </is>
      </c>
      <c r="C69" t="inlineStr">
        <is>
          <t>Föryngringsavverkning</t>
        </is>
      </c>
      <c r="D69" s="1" t="n">
        <v>45189</v>
      </c>
      <c r="E69" s="1" t="n">
        <v>46230</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46230</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46286-2024</t>
        </is>
      </c>
      <c r="B71" t="inlineStr">
        <is>
          <t>avverkningsanmälan</t>
        </is>
      </c>
      <c r="C71" t="inlineStr">
        <is>
          <t>Föryngringsavverkning</t>
        </is>
      </c>
      <c r="D71" s="1" t="n">
        <v>45581</v>
      </c>
      <c r="E71" s="1" t="n">
        <v>46230</v>
      </c>
      <c r="F71" t="inlineStr">
        <is>
          <t>SKÅNE LÄN</t>
        </is>
      </c>
      <c r="G71" t="inlineStr">
        <is>
          <t>ÄNGELHOLM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46230</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7337-2024</t>
        </is>
      </c>
      <c r="B73" t="inlineStr">
        <is>
          <t>avverkningsanmälan</t>
        </is>
      </c>
      <c r="C73" t="inlineStr">
        <is>
          <t>Föryngringsavverkning</t>
        </is>
      </c>
      <c r="D73" s="1" t="n">
        <v>45345</v>
      </c>
      <c r="E73" s="1" t="n">
        <v>46230</v>
      </c>
      <c r="F73" t="inlineStr">
        <is>
          <t>SKÅNE LÄN</t>
        </is>
      </c>
      <c r="G73" t="inlineStr">
        <is>
          <t>ÄNGELHOLM</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49610-2024</t>
        </is>
      </c>
      <c r="B74" t="inlineStr">
        <is>
          <t>avverkningsanmälan</t>
        </is>
      </c>
      <c r="C74" t="inlineStr">
        <is>
          <t>Föryngringsavverkning</t>
        </is>
      </c>
      <c r="D74" s="1" t="n">
        <v>45596</v>
      </c>
      <c r="E74" s="1" t="n">
        <v>46230</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58134-2022</t>
        </is>
      </c>
      <c r="B75" t="inlineStr">
        <is>
          <t>avverkningsanmälan</t>
        </is>
      </c>
      <c r="C75" t="inlineStr">
        <is>
          <t>Föryngringsavverkning</t>
        </is>
      </c>
      <c r="D75" s="1" t="n">
        <v>44900</v>
      </c>
      <c r="E75" s="1" t="n">
        <v>46230</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13243-2025</t>
        </is>
      </c>
      <c r="B76" t="inlineStr">
        <is>
          <t>avverkningsanmälan</t>
        </is>
      </c>
      <c r="C76" t="inlineStr">
        <is>
          <t>Föryngringsavverkning</t>
        </is>
      </c>
      <c r="D76" s="1" t="n">
        <v>45735</v>
      </c>
      <c r="E76" s="1" t="n">
        <v>46230</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46230</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74214-2021</t>
        </is>
      </c>
      <c r="B78" t="inlineStr">
        <is>
          <t>avverkningsanmälan</t>
        </is>
      </c>
      <c r="C78" t="inlineStr">
        <is>
          <t>Föryngringsavverkning</t>
        </is>
      </c>
      <c r="D78" s="1" t="n">
        <v>44553</v>
      </c>
      <c r="E78" s="1" t="n">
        <v>46230</v>
      </c>
      <c r="F78" t="inlineStr">
        <is>
          <t>SKÅNE LÄN</t>
        </is>
      </c>
      <c r="G78" t="inlineStr">
        <is>
          <t>ÄNGELHOLM</t>
        </is>
      </c>
      <c r="I78" t="n">
        <v>19.8</v>
      </c>
      <c r="J78" t="n">
        <v>0</v>
      </c>
      <c r="K78" t="n">
        <v>0</v>
      </c>
      <c r="L78" t="n">
        <v>0</v>
      </c>
      <c r="M78" t="n">
        <v>0</v>
      </c>
      <c r="N78" t="n">
        <v>0</v>
      </c>
      <c r="O78" t="n">
        <v>0</v>
      </c>
      <c r="P78" t="n">
        <v>0</v>
      </c>
      <c r="Q78" t="n">
        <v>0</v>
      </c>
      <c r="R78" t="n">
        <v>0</v>
      </c>
      <c r="S78" t="n">
        <v>0</v>
      </c>
      <c r="T78" t="n">
        <v>0</v>
      </c>
      <c r="U78" t="n">
        <v>0</v>
      </c>
      <c r="V78" s="2" t="inlineStr"/>
    </row>
    <row r="79" ht="15" customHeight="1">
      <c r="A79" t="inlineStr">
        <is>
          <t>A 42826-2025</t>
        </is>
      </c>
      <c r="B79" t="inlineStr">
        <is>
          <t>avverkningsanmälan</t>
        </is>
      </c>
      <c r="C79" t="inlineStr">
        <is>
          <t>Föryngringsavverkning</t>
        </is>
      </c>
      <c r="D79" s="1" t="n">
        <v>45908</v>
      </c>
      <c r="E79" s="1" t="n">
        <v>46230</v>
      </c>
      <c r="F79" t="inlineStr">
        <is>
          <t>SKÅNE LÄN</t>
        </is>
      </c>
      <c r="G79" t="inlineStr">
        <is>
          <t>ÄNGELHOLM</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46230</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46230</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46230</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46230</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46230</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46230</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46230</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46230</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46230</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46230</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46230</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46230</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46230</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46230</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46230</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46230</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46230</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4089-2024</t>
        </is>
      </c>
      <c r="B97" t="inlineStr">
        <is>
          <t>avverkningsanmälan</t>
        </is>
      </c>
      <c r="C97" t="inlineStr">
        <is>
          <t>Föryngringsavverkning</t>
        </is>
      </c>
      <c r="D97" s="1" t="n">
        <v>45323</v>
      </c>
      <c r="E97" s="1" t="n">
        <v>46230</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28496-2023</t>
        </is>
      </c>
      <c r="B98" t="inlineStr">
        <is>
          <t>avverkningsanmälan</t>
        </is>
      </c>
      <c r="C98" t="inlineStr">
        <is>
          <t>Föryngringsavverkning</t>
        </is>
      </c>
      <c r="D98" s="1" t="n">
        <v>45103</v>
      </c>
      <c r="E98" s="1" t="n">
        <v>46230</v>
      </c>
      <c r="F98" t="inlineStr">
        <is>
          <t>SKÅNE LÄN</t>
        </is>
      </c>
      <c r="G98" t="inlineStr">
        <is>
          <t>ÄNGELHOLM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1299-2024</t>
        </is>
      </c>
      <c r="B99" t="inlineStr">
        <is>
          <t>avverkningsanmälan</t>
        </is>
      </c>
      <c r="C99" t="inlineStr">
        <is>
          <t>Föryngringsavverkning</t>
        </is>
      </c>
      <c r="D99" s="1" t="n">
        <v>45303</v>
      </c>
      <c r="E99" s="1" t="n">
        <v>46230</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29369-2026</t>
        </is>
      </c>
      <c r="B100" t="inlineStr">
        <is>
          <t>avverkningsanmälan</t>
        </is>
      </c>
      <c r="C100" t="inlineStr">
        <is>
          <t>Föryngringsavverkning</t>
        </is>
      </c>
      <c r="D100" s="1" t="n">
        <v>46203</v>
      </c>
      <c r="E100" s="1" t="n">
        <v>46230</v>
      </c>
      <c r="F100" t="inlineStr">
        <is>
          <t>SKÅNE LÄN</t>
        </is>
      </c>
      <c r="G100" t="inlineStr">
        <is>
          <t>ÄNGELHOLM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32364-2023</t>
        </is>
      </c>
      <c r="B101" t="inlineStr">
        <is>
          <t>avverkningsanmälan</t>
        </is>
      </c>
      <c r="C101" t="inlineStr">
        <is>
          <t>Föryngringsavverkning</t>
        </is>
      </c>
      <c r="D101" s="1" t="n">
        <v>45120</v>
      </c>
      <c r="E101" s="1" t="n">
        <v>46230</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31503-2023</t>
        </is>
      </c>
      <c r="B102" t="inlineStr">
        <is>
          <t>avverkningsanmälan</t>
        </is>
      </c>
      <c r="C102" t="inlineStr">
        <is>
          <t>Föryngringsavverkning</t>
        </is>
      </c>
      <c r="D102" s="1" t="n">
        <v>45115</v>
      </c>
      <c r="E102" s="1" t="n">
        <v>46230</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39014-2023</t>
        </is>
      </c>
      <c r="B103" t="inlineStr">
        <is>
          <t>avverkningsanmälan</t>
        </is>
      </c>
      <c r="C103" t="inlineStr">
        <is>
          <t>Föryngringsavverkning</t>
        </is>
      </c>
      <c r="D103" s="1" t="n">
        <v>45163</v>
      </c>
      <c r="E103" s="1" t="n">
        <v>46230</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31908-2023</t>
        </is>
      </c>
      <c r="B104" t="inlineStr">
        <is>
          <t>avverkningsanmälan</t>
        </is>
      </c>
      <c r="C104" t="inlineStr">
        <is>
          <t>Föryngringsavverkning</t>
        </is>
      </c>
      <c r="D104" s="1" t="n">
        <v>45118</v>
      </c>
      <c r="E104" s="1" t="n">
        <v>46230</v>
      </c>
      <c r="F104" t="inlineStr">
        <is>
          <t>SKÅNE LÄN</t>
        </is>
      </c>
      <c r="G104" t="inlineStr">
        <is>
          <t>ÄNGELHOLM</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46230</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27097-2026</t>
        </is>
      </c>
      <c r="B106" t="inlineStr">
        <is>
          <t>avverkningsanmälan</t>
        </is>
      </c>
      <c r="C106" t="inlineStr">
        <is>
          <t>Föryngringsavverkning</t>
        </is>
      </c>
      <c r="D106" s="1" t="n">
        <v>46188</v>
      </c>
      <c r="E106" s="1" t="n">
        <v>46230</v>
      </c>
      <c r="F106" t="inlineStr">
        <is>
          <t>SKÅNE LÄN</t>
        </is>
      </c>
      <c r="G106" t="inlineStr">
        <is>
          <t>ÄNGELHOLM</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28253-2023</t>
        </is>
      </c>
      <c r="B107" t="inlineStr">
        <is>
          <t>avverkningsanmälan</t>
        </is>
      </c>
      <c r="C107" t="inlineStr">
        <is>
          <t>Föryngringsavverkning</t>
        </is>
      </c>
      <c r="D107" s="1" t="n">
        <v>45099</v>
      </c>
      <c r="E107" s="1" t="n">
        <v>46230</v>
      </c>
      <c r="F107" t="inlineStr">
        <is>
          <t>SKÅNE LÄN</t>
        </is>
      </c>
      <c r="G107" t="inlineStr">
        <is>
          <t>ÄNGELHOLM</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19255-2026</t>
        </is>
      </c>
      <c r="B108" t="inlineStr">
        <is>
          <t>avverkningsanmälan</t>
        </is>
      </c>
      <c r="C108" t="inlineStr">
        <is>
          <t>Föryngringsavverkning</t>
        </is>
      </c>
      <c r="D108" s="1" t="n">
        <v>46132</v>
      </c>
      <c r="E108" s="1" t="n">
        <v>46230</v>
      </c>
      <c r="F108" t="inlineStr">
        <is>
          <t>SKÅNE LÄN</t>
        </is>
      </c>
      <c r="G108" t="inlineStr">
        <is>
          <t>ÄNGELHOLM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19256-2026</t>
        </is>
      </c>
      <c r="B109" t="inlineStr">
        <is>
          <t>avverkningsanmälan</t>
        </is>
      </c>
      <c r="C109" t="inlineStr">
        <is>
          <t>Föryngringsavverkning</t>
        </is>
      </c>
      <c r="D109" s="1" t="n">
        <v>46132</v>
      </c>
      <c r="E109" s="1" t="n">
        <v>46230</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46230</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46230</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46230</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46230</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46230</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46230</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60227-2025</t>
        </is>
      </c>
      <c r="B116" t="inlineStr">
        <is>
          <t>avverkningsanmälan</t>
        </is>
      </c>
      <c r="C116" t="inlineStr">
        <is>
          <t>Föryngringsavverkning</t>
        </is>
      </c>
      <c r="D116" s="1" t="n">
        <v>45994</v>
      </c>
      <c r="E116" s="1" t="n">
        <v>46230</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54709-2023</t>
        </is>
      </c>
      <c r="B117" t="inlineStr">
        <is>
          <t>avverkningsanmälan</t>
        </is>
      </c>
      <c r="C117" t="inlineStr">
        <is>
          <t>Föryngringsavverkning</t>
        </is>
      </c>
      <c r="D117" s="1" t="n">
        <v>45236</v>
      </c>
      <c r="E117" s="1" t="n">
        <v>46230</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12148-2024</t>
        </is>
      </c>
      <c r="B118" t="inlineStr">
        <is>
          <t>avverkningsanmälan</t>
        </is>
      </c>
      <c r="C118" t="inlineStr">
        <is>
          <t>Föryngringsavverkning</t>
        </is>
      </c>
      <c r="D118" s="1" t="n">
        <v>45377</v>
      </c>
      <c r="E118" s="1" t="n">
        <v>46230</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46230</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9803-2026</t>
        </is>
      </c>
      <c r="B120" t="inlineStr">
        <is>
          <t>avverkningsanmälan</t>
        </is>
      </c>
      <c r="C120" t="inlineStr">
        <is>
          <t>Föryngringsavverkning</t>
        </is>
      </c>
      <c r="D120" s="1" t="n">
        <v>46072</v>
      </c>
      <c r="E120" s="1" t="n">
        <v>46230</v>
      </c>
      <c r="F120" t="inlineStr">
        <is>
          <t>SKÅNE LÄN</t>
        </is>
      </c>
      <c r="G120" t="inlineStr">
        <is>
          <t>ÄNGELHOLM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46230</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13278-2026</t>
        </is>
      </c>
      <c r="B122" t="inlineStr">
        <is>
          <t>avverkningsanmälan</t>
        </is>
      </c>
      <c r="C122" t="inlineStr">
        <is>
          <t>Föryngringsavverkning</t>
        </is>
      </c>
      <c r="D122" s="1" t="n">
        <v>46093</v>
      </c>
      <c r="E122" s="1" t="n">
        <v>46230</v>
      </c>
      <c r="F122" t="inlineStr">
        <is>
          <t>SKÅNE LÄN</t>
        </is>
      </c>
      <c r="G122" t="inlineStr">
        <is>
          <t>ÄNGELHOLM</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31720-2023</t>
        </is>
      </c>
      <c r="B123" t="inlineStr">
        <is>
          <t>avverkningsanmälan</t>
        </is>
      </c>
      <c r="C123" t="inlineStr">
        <is>
          <t>Föryngringsavverkning</t>
        </is>
      </c>
      <c r="D123" s="1" t="n">
        <v>45117</v>
      </c>
      <c r="E123" s="1" t="n">
        <v>46230</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26986-2026</t>
        </is>
      </c>
      <c r="B124" t="inlineStr">
        <is>
          <t>avverkningsanmälan</t>
        </is>
      </c>
      <c r="C124" t="inlineStr">
        <is>
          <t>Föryngringsavverkning</t>
        </is>
      </c>
      <c r="D124" s="1" t="n">
        <v>46185</v>
      </c>
      <c r="E124" s="1" t="n">
        <v>46230</v>
      </c>
      <c r="F124" t="inlineStr">
        <is>
          <t>SKÅNE LÄN</t>
        </is>
      </c>
      <c r="G124" t="inlineStr">
        <is>
          <t>ÄNGELHOLM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26978-2026</t>
        </is>
      </c>
      <c r="B125" t="inlineStr">
        <is>
          <t>avverkningsanmälan</t>
        </is>
      </c>
      <c r="C125" t="inlineStr">
        <is>
          <t>Föryngringsavverkning</t>
        </is>
      </c>
      <c r="D125" s="1" t="n">
        <v>46185</v>
      </c>
      <c r="E125" s="1" t="n">
        <v>46230</v>
      </c>
      <c r="F125" t="inlineStr">
        <is>
          <t>SKÅNE LÄN</t>
        </is>
      </c>
      <c r="G125" t="inlineStr">
        <is>
          <t>ÄNGELHOLM</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46230</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46230</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19650-2026</t>
        </is>
      </c>
      <c r="B128" t="inlineStr">
        <is>
          <t>avverkningsanmälan</t>
        </is>
      </c>
      <c r="C128" t="inlineStr">
        <is>
          <t>Föryngringsavverkning</t>
        </is>
      </c>
      <c r="D128" s="1" t="n">
        <v>46134</v>
      </c>
      <c r="E128" s="1" t="n">
        <v>46230</v>
      </c>
      <c r="F128" t="inlineStr">
        <is>
          <t>SKÅNE LÄN</t>
        </is>
      </c>
      <c r="G128" t="inlineStr">
        <is>
          <t>ÄNGELHOLM</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31576-2026</t>
        </is>
      </c>
      <c r="B129" t="inlineStr">
        <is>
          <t>avverkningsanmälan</t>
        </is>
      </c>
      <c r="C129" t="inlineStr">
        <is>
          <t>Föryngringsavverkning</t>
        </is>
      </c>
      <c r="D129" s="1" t="n">
        <v>46224</v>
      </c>
      <c r="E129" s="1" t="n">
        <v>46230</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46230</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46613-2024</t>
        </is>
      </c>
      <c r="B131" t="inlineStr">
        <is>
          <t>avverkningsanmälan</t>
        </is>
      </c>
      <c r="C131" t="inlineStr">
        <is>
          <t>Föryngringsavverkning</t>
        </is>
      </c>
      <c r="D131" s="1" t="n">
        <v>45583</v>
      </c>
      <c r="E131" s="1" t="n">
        <v>46230</v>
      </c>
      <c r="F131" t="inlineStr">
        <is>
          <t>SKÅNE LÄN</t>
        </is>
      </c>
      <c r="G131" t="inlineStr">
        <is>
          <t>ÄNGELHOLM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23976-2024</t>
        </is>
      </c>
      <c r="B132" t="inlineStr">
        <is>
          <t>avverkningsanmälan</t>
        </is>
      </c>
      <c r="C132" t="inlineStr">
        <is>
          <t>Föryngringsavverkning</t>
        </is>
      </c>
      <c r="D132" s="1" t="n">
        <v>45456</v>
      </c>
      <c r="E132" s="1" t="n">
        <v>46230</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40278-2023</t>
        </is>
      </c>
      <c r="B133" t="inlineStr">
        <is>
          <t>avverkningsanmälan</t>
        </is>
      </c>
      <c r="C133" t="inlineStr">
        <is>
          <t>Föryngringsavverkning</t>
        </is>
      </c>
      <c r="D133" s="1" t="n">
        <v>45169</v>
      </c>
      <c r="E133" s="1" t="n">
        <v>46230</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7871-2025</t>
        </is>
      </c>
      <c r="B134" t="inlineStr">
        <is>
          <t>avverkningsanmälan</t>
        </is>
      </c>
      <c r="C134" t="inlineStr">
        <is>
          <t>Föryngringsavverkning</t>
        </is>
      </c>
      <c r="D134" s="1" t="n">
        <v>45706</v>
      </c>
      <c r="E134" s="1" t="n">
        <v>46230</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46230</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46230</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46230</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28264-2022</t>
        </is>
      </c>
      <c r="B138" t="inlineStr">
        <is>
          <t>avverkningsanmälan</t>
        </is>
      </c>
      <c r="C138" t="inlineStr">
        <is>
          <t>Föryngringsavverkning</t>
        </is>
      </c>
      <c r="D138" s="1" t="n">
        <v>44746</v>
      </c>
      <c r="E138" s="1" t="n">
        <v>46230</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46230</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46230</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46230</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46230</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49206-2024</t>
        </is>
      </c>
      <c r="B143" t="inlineStr">
        <is>
          <t>avverkningsanmälan</t>
        </is>
      </c>
      <c r="C143" t="inlineStr">
        <is>
          <t>Föryngringsavverkning</t>
        </is>
      </c>
      <c r="D143" s="1" t="n">
        <v>45595</v>
      </c>
      <c r="E143" s="1" t="n">
        <v>46230</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19503-2022</t>
        </is>
      </c>
      <c r="B144" t="inlineStr">
        <is>
          <t>avverkningsanmälan</t>
        </is>
      </c>
      <c r="C144" t="inlineStr">
        <is>
          <t>Föryngringsavverkning</t>
        </is>
      </c>
      <c r="D144" s="1" t="n">
        <v>44693</v>
      </c>
      <c r="E144" s="1" t="n">
        <v>46230</v>
      </c>
      <c r="F144" t="inlineStr">
        <is>
          <t>SKÅNE LÄN</t>
        </is>
      </c>
      <c r="G144" t="inlineStr">
        <is>
          <t>ÄNGELHOLM</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57923-2024</t>
        </is>
      </c>
      <c r="B145" t="inlineStr">
        <is>
          <t>avverkningsanmälan</t>
        </is>
      </c>
      <c r="C145" t="inlineStr">
        <is>
          <t>Föryngringsavverkning</t>
        </is>
      </c>
      <c r="D145" s="1" t="n">
        <v>45631</v>
      </c>
      <c r="E145" s="1" t="n">
        <v>46230</v>
      </c>
      <c r="F145" t="inlineStr">
        <is>
          <t>SKÅNE LÄN</t>
        </is>
      </c>
      <c r="G145" t="inlineStr">
        <is>
          <t>ÄNGELHOLM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46230</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23980-2024</t>
        </is>
      </c>
      <c r="B147" t="inlineStr">
        <is>
          <t>avverkningsanmälan</t>
        </is>
      </c>
      <c r="C147" t="inlineStr">
        <is>
          <t>Föryngringsavverkning</t>
        </is>
      </c>
      <c r="D147" s="1" t="n">
        <v>45456</v>
      </c>
      <c r="E147" s="1" t="n">
        <v>46230</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55748-2024</t>
        </is>
      </c>
      <c r="B148" t="inlineStr">
        <is>
          <t>avverkningsanmälan</t>
        </is>
      </c>
      <c r="C148" t="inlineStr">
        <is>
          <t>Föryngringsavverkning</t>
        </is>
      </c>
      <c r="D148" s="1" t="n">
        <v>45623</v>
      </c>
      <c r="E148" s="1" t="n">
        <v>46230</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48197-2024</t>
        </is>
      </c>
      <c r="B149" t="inlineStr">
        <is>
          <t>avverkningsanmälan</t>
        </is>
      </c>
      <c r="C149" t="inlineStr">
        <is>
          <t>Föryngringsavverkning</t>
        </is>
      </c>
      <c r="D149" s="1" t="n">
        <v>45590</v>
      </c>
      <c r="E149" s="1" t="n">
        <v>46230</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46230</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46230</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46230</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46230</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46230</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46230</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46230</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46230</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46230</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46230</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46230</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46230</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2026-07-27T01:48:56Z</dcterms:created>
  <dcterms:modified xmlns:dcterms="http://purl.org/dc/terms/" xmlns:xsi="http://www.w3.org/2001/XMLSchema-instance" xsi:type="dcterms:W3CDTF">2026-07-27T01:48:56Z</dcterms:modified>
</cp:coreProperties>
</file>