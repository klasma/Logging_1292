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46198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46198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46198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46198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46198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46198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46198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46198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46198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905-2024</t>
        </is>
      </c>
      <c r="B11" s="1" t="n">
        <v>45301</v>
      </c>
      <c r="C11" s="1" t="n">
        <v>46198</v>
      </c>
      <c r="D11" t="inlineStr">
        <is>
          <t>SKÅNE LÄN</t>
        </is>
      </c>
      <c r="E11" t="inlineStr">
        <is>
          <t>ÄNGELHOLM</t>
        </is>
      </c>
      <c r="G11" t="n">
        <v>4.9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Desmeknopp
Myskmadra</t>
        </is>
      </c>
      <c r="S11">
        <f>HYPERLINK("https://klasma.github.io/Logging_1292/artfynd/A 905-2024 artfynd.xlsx", "A 905-2024")</f>
        <v/>
      </c>
      <c r="T11">
        <f>HYPERLINK("https://klasma.github.io/Logging_1292/kartor/A 905-2024 karta.png", "A 905-2024")</f>
        <v/>
      </c>
      <c r="V11">
        <f>HYPERLINK("https://klasma.github.io/Logging_1292/klagomål/A 905-2024 FSC-klagomål.docx", "A 905-2024")</f>
        <v/>
      </c>
      <c r="W11">
        <f>HYPERLINK("https://klasma.github.io/Logging_1292/klagomålsmail/A 905-2024 FSC-klagomål mail.docx", "A 905-2024")</f>
        <v/>
      </c>
      <c r="X11">
        <f>HYPERLINK("https://klasma.github.io/Logging_1292/tillsyn/A 905-2024 tillsynsbegäran.docx", "A 905-2024")</f>
        <v/>
      </c>
      <c r="Y11">
        <f>HYPERLINK("https://klasma.github.io/Logging_1292/tillsynsmail/A 905-2024 tillsynsbegäran mail.docx", "A 905-2024")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46198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3317-2026</t>
        </is>
      </c>
      <c r="B13" s="1" t="n">
        <v>46041</v>
      </c>
      <c r="C13" s="1" t="n">
        <v>46198</v>
      </c>
      <c r="D13" t="inlineStr">
        <is>
          <t>SKÅNE LÄN</t>
        </is>
      </c>
      <c r="E13" t="inlineStr">
        <is>
          <t>ÄNGELHOLM</t>
        </is>
      </c>
      <c r="G13" t="n">
        <v>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Mindre hackspett
Gröngöling</t>
        </is>
      </c>
      <c r="S13">
        <f>HYPERLINK("https://klasma.github.io/Logging_1292/artfynd/A 3317-2026 artfynd.xlsx", "A 3317-2026")</f>
        <v/>
      </c>
      <c r="T13">
        <f>HYPERLINK("https://klasma.github.io/Logging_1292/kartor/A 3317-2026 karta.png", "A 3317-2026")</f>
        <v/>
      </c>
      <c r="V13">
        <f>HYPERLINK("https://klasma.github.io/Logging_1292/klagomål/A 3317-2026 FSC-klagomål.docx", "A 3317-2026")</f>
        <v/>
      </c>
      <c r="W13">
        <f>HYPERLINK("https://klasma.github.io/Logging_1292/klagomålsmail/A 3317-2026 FSC-klagomål mail.docx", "A 3317-2026")</f>
        <v/>
      </c>
      <c r="X13">
        <f>HYPERLINK("https://klasma.github.io/Logging_1292/tillsyn/A 3317-2026 tillsynsbegäran.docx", "A 3317-2026")</f>
        <v/>
      </c>
      <c r="Y13">
        <f>HYPERLINK("https://klasma.github.io/Logging_1292/tillsynsmail/A 3317-2026 tillsynsbegäran mail.docx", "A 3317-2026")</f>
        <v/>
      </c>
      <c r="Z13">
        <f>HYPERLINK("https://klasma.github.io/Logging_1292/fåglar/A 3317-2026 prioriterade fågelarter.docx", "A 3317-2026")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46198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Kopparödla
Vanlig padda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31907-2023</t>
        </is>
      </c>
      <c r="B15" s="1" t="n">
        <v>45118</v>
      </c>
      <c r="C15" s="1" t="n">
        <v>46198</v>
      </c>
      <c r="D15" t="inlineStr">
        <is>
          <t>SKÅNE LÄN</t>
        </is>
      </c>
      <c r="E15" t="inlineStr">
        <is>
          <t>ÄNGELHOLM</t>
        </is>
      </c>
      <c r="G15" t="n">
        <v>5.3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Bokvårtlav
Platt fjädermossa
Stubbspretmossa</t>
        </is>
      </c>
      <c r="S15">
        <f>HYPERLINK("https://klasma.github.io/Logging_1292/artfynd/A 31907-2023 artfynd.xlsx", "A 31907-2023")</f>
        <v/>
      </c>
      <c r="T15">
        <f>HYPERLINK("https://klasma.github.io/Logging_1292/kartor/A 31907-2023 karta.png", "A 31907-2023")</f>
        <v/>
      </c>
      <c r="V15">
        <f>HYPERLINK("https://klasma.github.io/Logging_1292/klagomål/A 31907-2023 FSC-klagomål.docx", "A 31907-2023")</f>
        <v/>
      </c>
      <c r="W15">
        <f>HYPERLINK("https://klasma.github.io/Logging_1292/klagomålsmail/A 31907-2023 FSC-klagomål mail.docx", "A 31907-2023")</f>
        <v/>
      </c>
      <c r="X15">
        <f>HYPERLINK("https://klasma.github.io/Logging_1292/tillsyn/A 31907-2023 tillsynsbegäran.docx", "A 31907-2023")</f>
        <v/>
      </c>
      <c r="Y15">
        <f>HYPERLINK("https://klasma.github.io/Logging_1292/tillsynsmail/A 31907-2023 tillsynsbegäran mail.docx", "A 31907-2023")</f>
        <v/>
      </c>
    </row>
    <row r="16" ht="15" customHeight="1">
      <c r="A16" t="inlineStr">
        <is>
          <t>A 8065-2025</t>
        </is>
      </c>
      <c r="B16" s="1" t="n">
        <v>45707</v>
      </c>
      <c r="C16" s="1" t="n">
        <v>46198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Småvänderot
Gullpudra
Svinrot</t>
        </is>
      </c>
      <c r="S16">
        <f>HYPERLINK("https://klasma.github.io/Logging_1292/artfynd/A 8065-2025 artfynd.xlsx", "A 8065-2025")</f>
        <v/>
      </c>
      <c r="T16">
        <f>HYPERLINK("https://klasma.github.io/Logging_1292/kartor/A 8065-2025 karta.png", "A 8065-2025")</f>
        <v/>
      </c>
      <c r="V16">
        <f>HYPERLINK("https://klasma.github.io/Logging_1292/klagomål/A 8065-2025 FSC-klagomål.docx", "A 8065-2025")</f>
        <v/>
      </c>
      <c r="W16">
        <f>HYPERLINK("https://klasma.github.io/Logging_1292/klagomålsmail/A 8065-2025 FSC-klagomål mail.docx", "A 8065-2025")</f>
        <v/>
      </c>
      <c r="X16">
        <f>HYPERLINK("https://klasma.github.io/Logging_1292/tillsyn/A 8065-2025 tillsynsbegäran.docx", "A 8065-2025")</f>
        <v/>
      </c>
      <c r="Y16">
        <f>HYPERLINK("https://klasma.github.io/Logging_1292/tillsynsmail/A 8065-2025 tillsynsbegäran mail.docx", "A 8065-2025")</f>
        <v/>
      </c>
    </row>
    <row r="17" ht="15" customHeight="1">
      <c r="A17" t="inlineStr">
        <is>
          <t>A 18559-2025</t>
        </is>
      </c>
      <c r="B17" s="1" t="n">
        <v>45763</v>
      </c>
      <c r="C17" s="1" t="n">
        <v>46198</v>
      </c>
      <c r="D17" t="inlineStr">
        <is>
          <t>SKÅNE LÄN</t>
        </is>
      </c>
      <c r="E17" t="inlineStr">
        <is>
          <t>ÄNGELHOLM</t>
        </is>
      </c>
      <c r="G17" t="n">
        <v>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Gröngöling</t>
        </is>
      </c>
      <c r="S17">
        <f>HYPERLINK("https://klasma.github.io/Logging_1292/artfynd/A 18559-2025 artfynd.xlsx", "A 18559-2025")</f>
        <v/>
      </c>
      <c r="T17">
        <f>HYPERLINK("https://klasma.github.io/Logging_1292/kartor/A 18559-2025 karta.png", "A 18559-2025")</f>
        <v/>
      </c>
      <c r="V17">
        <f>HYPERLINK("https://klasma.github.io/Logging_1292/klagomål/A 18559-2025 FSC-klagomål.docx", "A 18559-2025")</f>
        <v/>
      </c>
      <c r="W17">
        <f>HYPERLINK("https://klasma.github.io/Logging_1292/klagomålsmail/A 18559-2025 FSC-klagomål mail.docx", "A 18559-2025")</f>
        <v/>
      </c>
      <c r="X17">
        <f>HYPERLINK("https://klasma.github.io/Logging_1292/tillsyn/A 18559-2025 tillsynsbegäran.docx", "A 18559-2025")</f>
        <v/>
      </c>
      <c r="Y17">
        <f>HYPERLINK("https://klasma.github.io/Logging_1292/tillsynsmail/A 18559-2025 tillsynsbegäran mail.docx", "A 18559-2025")</f>
        <v/>
      </c>
      <c r="Z17">
        <f>HYPERLINK("https://klasma.github.io/Logging_1292/fåglar/A 18559-2025 prioriterade fågelarter.docx", "A 18559-2025")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46198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46198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46198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46198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46198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46198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46198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44062-2022</t>
        </is>
      </c>
      <c r="B25" s="1" t="n">
        <v>44839</v>
      </c>
      <c r="C25" s="1" t="n">
        <v>46198</v>
      </c>
      <c r="D25" t="inlineStr">
        <is>
          <t>SKÅNE LÄN</t>
        </is>
      </c>
      <c r="E25" t="inlineStr">
        <is>
          <t>ÄNGELHOLM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HYPERLINK("https://klasma.github.io/Logging_1292/artfynd/A 44062-2022 artfynd.xlsx", "A 44062-2022")</f>
        <v/>
      </c>
      <c r="T25">
        <f>HYPERLINK("https://klasma.github.io/Logging_1292/kartor/A 44062-2022 karta.png", "A 44062-2022")</f>
        <v/>
      </c>
      <c r="V25">
        <f>HYPERLINK("https://klasma.github.io/Logging_1292/klagomål/A 44062-2022 FSC-klagomål.docx", "A 44062-2022")</f>
        <v/>
      </c>
      <c r="W25">
        <f>HYPERLINK("https://klasma.github.io/Logging_1292/klagomålsmail/A 44062-2022 FSC-klagomål mail.docx", "A 44062-2022")</f>
        <v/>
      </c>
      <c r="X25">
        <f>HYPERLINK("https://klasma.github.io/Logging_1292/tillsyn/A 44062-2022 tillsynsbegäran.docx", "A 44062-2022")</f>
        <v/>
      </c>
      <c r="Y25">
        <f>HYPERLINK("https://klasma.github.io/Logging_1292/tillsynsmail/A 44062-2022 tillsynsbegäran mail.docx", "A 44062-2022")</f>
        <v/>
      </c>
    </row>
    <row r="26" ht="15" customHeight="1">
      <c r="A26" t="inlineStr">
        <is>
          <t>A 38752-2025</t>
        </is>
      </c>
      <c r="B26" s="1" t="n">
        <v>45887</v>
      </c>
      <c r="C26" s="1" t="n">
        <v>46198</v>
      </c>
      <c r="D26" t="inlineStr">
        <is>
          <t>SKÅNE LÄN</t>
        </is>
      </c>
      <c r="E26" t="inlineStr">
        <is>
          <t>ÄNGELHOLM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HYPERLINK("https://klasma.github.io/Logging_1292/artfynd/A 38752-2025 artfynd.xlsx", "A 38752-2025")</f>
        <v/>
      </c>
      <c r="T26">
        <f>HYPERLINK("https://klasma.github.io/Logging_1292/kartor/A 38752-2025 karta.png", "A 38752-2025")</f>
        <v/>
      </c>
      <c r="V26">
        <f>HYPERLINK("https://klasma.github.io/Logging_1292/klagomål/A 38752-2025 FSC-klagomål.docx", "A 38752-2025")</f>
        <v/>
      </c>
      <c r="W26">
        <f>HYPERLINK("https://klasma.github.io/Logging_1292/klagomålsmail/A 38752-2025 FSC-klagomål mail.docx", "A 38752-2025")</f>
        <v/>
      </c>
      <c r="X26">
        <f>HYPERLINK("https://klasma.github.io/Logging_1292/tillsyn/A 38752-2025 tillsynsbegäran.docx", "A 38752-2025")</f>
        <v/>
      </c>
      <c r="Y26">
        <f>HYPERLINK("https://klasma.github.io/Logging_1292/tillsynsmail/A 38752-2025 tillsynsbegäran mail.docx", "A 38752-2025")</f>
        <v/>
      </c>
    </row>
    <row r="27" ht="15" customHeight="1">
      <c r="A27" t="inlineStr">
        <is>
          <t>A 4088-2024</t>
        </is>
      </c>
      <c r="B27" s="1" t="n">
        <v>45323</v>
      </c>
      <c r="C27" s="1" t="n">
        <v>46198</v>
      </c>
      <c r="D27" t="inlineStr">
        <is>
          <t>SKÅNE LÄN</t>
        </is>
      </c>
      <c r="E27" t="inlineStr">
        <is>
          <t>ÄNGELHOLM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Flikbålmossa</t>
        </is>
      </c>
      <c r="S27">
        <f>HYPERLINK("https://klasma.github.io/Logging_1292/artfynd/A 4088-2024 artfynd.xlsx", "A 4088-2024")</f>
        <v/>
      </c>
      <c r="T27">
        <f>HYPERLINK("https://klasma.github.io/Logging_1292/kartor/A 4088-2024 karta.png", "A 4088-2024")</f>
        <v/>
      </c>
      <c r="V27">
        <f>HYPERLINK("https://klasma.github.io/Logging_1292/klagomål/A 4088-2024 FSC-klagomål.docx", "A 4088-2024")</f>
        <v/>
      </c>
      <c r="W27">
        <f>HYPERLINK("https://klasma.github.io/Logging_1292/klagomålsmail/A 4088-2024 FSC-klagomål mail.docx", "A 4088-2024")</f>
        <v/>
      </c>
      <c r="X27">
        <f>HYPERLINK("https://klasma.github.io/Logging_1292/tillsyn/A 4088-2024 tillsynsbegäran.docx", "A 4088-2024")</f>
        <v/>
      </c>
      <c r="Y27">
        <f>HYPERLINK("https://klasma.github.io/Logging_1292/tillsynsmail/A 4088-2024 tillsynsbegäran mail.docx", "A 4088-2024")</f>
        <v/>
      </c>
    </row>
    <row r="28" ht="15" customHeight="1">
      <c r="A28" t="inlineStr">
        <is>
          <t>A 25129-2024</t>
        </is>
      </c>
      <c r="B28" s="1" t="n">
        <v>45462</v>
      </c>
      <c r="C28" s="1" t="n">
        <v>46198</v>
      </c>
      <c r="D28" t="inlineStr">
        <is>
          <t>SKÅNE LÄN</t>
        </is>
      </c>
      <c r="E28" t="inlineStr">
        <is>
          <t>ÄNGELHOLM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Gullpudra</t>
        </is>
      </c>
      <c r="S28">
        <f>HYPERLINK("https://klasma.github.io/Logging_1292/artfynd/A 25129-2024 artfynd.xlsx", "A 25129-2024")</f>
        <v/>
      </c>
      <c r="T28">
        <f>HYPERLINK("https://klasma.github.io/Logging_1292/kartor/A 25129-2024 karta.png", "A 25129-2024")</f>
        <v/>
      </c>
      <c r="V28">
        <f>HYPERLINK("https://klasma.github.io/Logging_1292/klagomål/A 25129-2024 FSC-klagomål.docx", "A 25129-2024")</f>
        <v/>
      </c>
      <c r="W28">
        <f>HYPERLINK("https://klasma.github.io/Logging_1292/klagomålsmail/A 25129-2024 FSC-klagomål mail.docx", "A 25129-2024")</f>
        <v/>
      </c>
      <c r="X28">
        <f>HYPERLINK("https://klasma.github.io/Logging_1292/tillsyn/A 25129-2024 tillsynsbegäran.docx", "A 25129-2024")</f>
        <v/>
      </c>
      <c r="Y28">
        <f>HYPERLINK("https://klasma.github.io/Logging_1292/tillsynsmail/A 25129-2024 tillsynsbegäran mail.docx", "A 25129-2024")</f>
        <v/>
      </c>
    </row>
    <row r="29" ht="15" customHeight="1">
      <c r="A29" t="inlineStr">
        <is>
          <t>A 27094-2026</t>
        </is>
      </c>
      <c r="B29" s="1" t="n">
        <v>46188</v>
      </c>
      <c r="C29" s="1" t="n">
        <v>46198</v>
      </c>
      <c r="D29" t="inlineStr">
        <is>
          <t>SKÅNE LÄN</t>
        </is>
      </c>
      <c r="E29" t="inlineStr">
        <is>
          <t>ÄNGELHOLM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HYPERLINK("https://klasma.github.io/Logging_1292/artfynd/A 27094-2026 artfynd.xlsx", "A 27094-2026")</f>
        <v/>
      </c>
      <c r="T29">
        <f>HYPERLINK("https://klasma.github.io/Logging_1292/kartor/A 27094-2026 karta.png", "A 27094-2026")</f>
        <v/>
      </c>
      <c r="V29">
        <f>HYPERLINK("https://klasma.github.io/Logging_1292/klagomål/A 27094-2026 FSC-klagomål.docx", "A 27094-2026")</f>
        <v/>
      </c>
      <c r="W29">
        <f>HYPERLINK("https://klasma.github.io/Logging_1292/klagomålsmail/A 27094-2026 FSC-klagomål mail.docx", "A 27094-2026")</f>
        <v/>
      </c>
      <c r="X29">
        <f>HYPERLINK("https://klasma.github.io/Logging_1292/tillsyn/A 27094-2026 tillsynsbegäran.docx", "A 27094-2026")</f>
        <v/>
      </c>
      <c r="Y29">
        <f>HYPERLINK("https://klasma.github.io/Logging_1292/tillsynsmail/A 27094-2026 tillsynsbegäran mail.docx", "A 27094-2026")</f>
        <v/>
      </c>
    </row>
    <row r="30" ht="15" customHeight="1">
      <c r="A30" t="inlineStr">
        <is>
          <t>A 12150-2024</t>
        </is>
      </c>
      <c r="B30" s="1" t="n">
        <v>45377</v>
      </c>
      <c r="C30" s="1" t="n">
        <v>46198</v>
      </c>
      <c r="D30" t="inlineStr">
        <is>
          <t>SKÅNE LÄN</t>
        </is>
      </c>
      <c r="E30" t="inlineStr">
        <is>
          <t>ÄNGELHOLM</t>
        </is>
      </c>
      <c r="G30" t="n">
        <v>1.4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Igelkott</t>
        </is>
      </c>
      <c r="S30">
        <f>HYPERLINK("https://klasma.github.io/Logging_1292/artfynd/A 12150-2024 artfynd.xlsx", "A 12150-2024")</f>
        <v/>
      </c>
      <c r="T30">
        <f>HYPERLINK("https://klasma.github.io/Logging_1292/kartor/A 12150-2024 karta.png", "A 12150-2024")</f>
        <v/>
      </c>
      <c r="V30">
        <f>HYPERLINK("https://klasma.github.io/Logging_1292/klagomål/A 12150-2024 FSC-klagomål.docx", "A 12150-2024")</f>
        <v/>
      </c>
      <c r="W30">
        <f>HYPERLINK("https://klasma.github.io/Logging_1292/klagomålsmail/A 12150-2024 FSC-klagomål mail.docx", "A 12150-2024")</f>
        <v/>
      </c>
      <c r="X30">
        <f>HYPERLINK("https://klasma.github.io/Logging_1292/tillsyn/A 12150-2024 tillsynsbegäran.docx", "A 12150-2024")</f>
        <v/>
      </c>
      <c r="Y30">
        <f>HYPERLINK("https://klasma.github.io/Logging_1292/tillsynsmail/A 12150-2024 tillsynsbegäran mail.docx", "A 12150-2024")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46198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50642-2023</t>
        </is>
      </c>
      <c r="B32" s="1" t="n">
        <v>45210</v>
      </c>
      <c r="C32" s="1" t="n">
        <v>46198</v>
      </c>
      <c r="D32" t="inlineStr">
        <is>
          <t>SKÅNE LÄN</t>
        </is>
      </c>
      <c r="E32" t="inlineStr">
        <is>
          <t>ÄNGELHOLM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HYPERLINK("https://klasma.github.io/Logging_1292/artfynd/A 50642-2023 artfynd.xlsx", "A 50642-2023")</f>
        <v/>
      </c>
      <c r="T32">
        <f>HYPERLINK("https://klasma.github.io/Logging_1292/kartor/A 50642-2023 karta.png", "A 50642-2023")</f>
        <v/>
      </c>
      <c r="V32">
        <f>HYPERLINK("https://klasma.github.io/Logging_1292/klagomål/A 50642-2023 FSC-klagomål.docx", "A 50642-2023")</f>
        <v/>
      </c>
      <c r="W32">
        <f>HYPERLINK("https://klasma.github.io/Logging_1292/klagomålsmail/A 50642-2023 FSC-klagomål mail.docx", "A 50642-2023")</f>
        <v/>
      </c>
      <c r="X32">
        <f>HYPERLINK("https://klasma.github.io/Logging_1292/tillsyn/A 50642-2023 tillsynsbegäran.docx", "A 50642-2023")</f>
        <v/>
      </c>
      <c r="Y32">
        <f>HYPERLINK("https://klasma.github.io/Logging_1292/tillsynsmail/A 50642-2023 tillsynsbegäran mail.docx", "A 50642-2023")</f>
        <v/>
      </c>
    </row>
    <row r="33" ht="15" customHeight="1">
      <c r="A33" t="inlineStr">
        <is>
          <t>A 46487-2024</t>
        </is>
      </c>
      <c r="B33" s="1" t="n">
        <v>45582</v>
      </c>
      <c r="C33" s="1" t="n">
        <v>46198</v>
      </c>
      <c r="D33" t="inlineStr">
        <is>
          <t>SKÅNE LÄN</t>
        </is>
      </c>
      <c r="E33" t="inlineStr">
        <is>
          <t>ÄNGELHOLM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HYPERLINK("https://klasma.github.io/Logging_1292/artfynd/A 46487-2024 artfynd.xlsx", "A 46487-2024")</f>
        <v/>
      </c>
      <c r="T33">
        <f>HYPERLINK("https://klasma.github.io/Logging_1292/kartor/A 46487-2024 karta.png", "A 46487-2024")</f>
        <v/>
      </c>
      <c r="V33">
        <f>HYPERLINK("https://klasma.github.io/Logging_1292/klagomål/A 46487-2024 FSC-klagomål.docx", "A 46487-2024")</f>
        <v/>
      </c>
      <c r="W33">
        <f>HYPERLINK("https://klasma.github.io/Logging_1292/klagomålsmail/A 46487-2024 FSC-klagomål mail.docx", "A 46487-2024")</f>
        <v/>
      </c>
      <c r="X33">
        <f>HYPERLINK("https://klasma.github.io/Logging_1292/tillsyn/A 46487-2024 tillsynsbegäran.docx", "A 46487-2024")</f>
        <v/>
      </c>
      <c r="Y33">
        <f>HYPERLINK("https://klasma.github.io/Logging_1292/tillsynsmail/A 46487-2024 tillsynsbegäran mail.docx", "A 46487-2024")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46198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46198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46198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46198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41769-2022</t>
        </is>
      </c>
      <c r="B38" s="1" t="n">
        <v>44827</v>
      </c>
      <c r="C38" s="1" t="n">
        <v>46198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61263-2021</t>
        </is>
      </c>
      <c r="B39" s="1" t="n">
        <v>44498</v>
      </c>
      <c r="C39" s="1" t="n">
        <v>46198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56094-2021</t>
        </is>
      </c>
      <c r="B40" s="1" t="n">
        <v>44477</v>
      </c>
      <c r="C40" s="1" t="n">
        <v>46198</v>
      </c>
      <c r="D40" t="inlineStr">
        <is>
          <t>SKÅNE LÄN</t>
        </is>
      </c>
      <c r="E40" t="inlineStr">
        <is>
          <t>ÄNGELHOLM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32735-2021</t>
        </is>
      </c>
      <c r="B41" s="1" t="n">
        <v>44375</v>
      </c>
      <c r="C41" s="1" t="n">
        <v>46198</v>
      </c>
      <c r="D41" t="inlineStr">
        <is>
          <t>SKÅNE LÄN</t>
        </is>
      </c>
      <c r="E41" t="inlineStr">
        <is>
          <t>ÄNGELHOLM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15046-2022</t>
        </is>
      </c>
      <c r="B42" s="1" t="n">
        <v>44657</v>
      </c>
      <c r="C42" s="1" t="n">
        <v>46198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11775-2022</t>
        </is>
      </c>
      <c r="B43" s="1" t="n">
        <v>44634</v>
      </c>
      <c r="C43" s="1" t="n">
        <v>46198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46198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</v>
      </c>
      <c r="C45" s="1" t="n">
        <v>46198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41725-2022</t>
        </is>
      </c>
      <c r="B46" s="1" t="n">
        <v>44827</v>
      </c>
      <c r="C46" s="1" t="n">
        <v>46198</v>
      </c>
      <c r="D46" t="inlineStr">
        <is>
          <t>SKÅNE LÄN</t>
        </is>
      </c>
      <c r="E46" t="inlineStr">
        <is>
          <t>ÄNGELHOLM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56569-2021</t>
        </is>
      </c>
      <c r="B47" s="1" t="n">
        <v>44480</v>
      </c>
      <c r="C47" s="1" t="n">
        <v>46198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11773-2022</t>
        </is>
      </c>
      <c r="B48" s="1" t="n">
        <v>44634</v>
      </c>
      <c r="C48" s="1" t="n">
        <v>46198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46198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46198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46198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46198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6667-2025</t>
        </is>
      </c>
      <c r="B53" s="1" t="n">
        <v>45700</v>
      </c>
      <c r="C53" s="1" t="n">
        <v>46198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55545-2022</t>
        </is>
      </c>
      <c r="B54" s="1" t="n">
        <v>44887</v>
      </c>
      <c r="C54" s="1" t="n">
        <v>46198</v>
      </c>
      <c r="D54" t="inlineStr">
        <is>
          <t>SKÅNE LÄN</t>
        </is>
      </c>
      <c r="E54" t="inlineStr">
        <is>
          <t>ÄNGELHOLM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46198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</v>
      </c>
      <c r="C56" s="1" t="n">
        <v>46198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23676-2024</t>
        </is>
      </c>
      <c r="B57" s="1" t="n">
        <v>45454</v>
      </c>
      <c r="C57" s="1" t="n">
        <v>46198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44448-2023</t>
        </is>
      </c>
      <c r="B58" s="1" t="n">
        <v>45189</v>
      </c>
      <c r="C58" s="1" t="n">
        <v>46198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31143-2024</t>
        </is>
      </c>
      <c r="B59" s="1" t="n">
        <v>45502</v>
      </c>
      <c r="C59" s="1" t="n">
        <v>46198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23328-2022</t>
        </is>
      </c>
      <c r="B60" s="1" t="n">
        <v>44720</v>
      </c>
      <c r="C60" s="1" t="n">
        <v>46198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15154-2023</t>
        </is>
      </c>
      <c r="B61" s="1" t="n">
        <v>45016</v>
      </c>
      <c r="C61" s="1" t="n">
        <v>46198</v>
      </c>
      <c r="D61" t="inlineStr">
        <is>
          <t>SKÅNE LÄN</t>
        </is>
      </c>
      <c r="E61" t="inlineStr">
        <is>
          <t>ÄNGELHOLM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46286-2024</t>
        </is>
      </c>
      <c r="B62" s="1" t="n">
        <v>45581</v>
      </c>
      <c r="C62" s="1" t="n">
        <v>46198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8139-2025</t>
        </is>
      </c>
      <c r="B63" s="1" t="n">
        <v>45708</v>
      </c>
      <c r="C63" s="1" t="n">
        <v>46198</v>
      </c>
      <c r="D63" t="inlineStr">
        <is>
          <t>SKÅNE LÄN</t>
        </is>
      </c>
      <c r="E63" t="inlineStr">
        <is>
          <t>ÄNGELHOLM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55544-2022</t>
        </is>
      </c>
      <c r="B64" s="1" t="n">
        <v>44887</v>
      </c>
      <c r="C64" s="1" t="n">
        <v>46198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19650-2026</t>
        </is>
      </c>
      <c r="B65" s="1" t="n">
        <v>46134</v>
      </c>
      <c r="C65" s="1" t="n">
        <v>46198</v>
      </c>
      <c r="D65" t="inlineStr">
        <is>
          <t>SKÅNE LÄN</t>
        </is>
      </c>
      <c r="E65" t="inlineStr">
        <is>
          <t>ÄNGELHOLM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7337-2024</t>
        </is>
      </c>
      <c r="B66" s="1" t="n">
        <v>45345</v>
      </c>
      <c r="C66" s="1" t="n">
        <v>46198</v>
      </c>
      <c r="D66" t="inlineStr">
        <is>
          <t>SKÅNE LÄN</t>
        </is>
      </c>
      <c r="E66" t="inlineStr">
        <is>
          <t>ÄNGELHOLM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40287-2025</t>
        </is>
      </c>
      <c r="B67" s="1" t="n">
        <v>45895</v>
      </c>
      <c r="C67" s="1" t="n">
        <v>46198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49610-2024</t>
        </is>
      </c>
      <c r="B68" s="1" t="n">
        <v>45596</v>
      </c>
      <c r="C68" s="1" t="n">
        <v>46198</v>
      </c>
      <c r="D68" t="inlineStr">
        <is>
          <t>SKÅNE LÄN</t>
        </is>
      </c>
      <c r="E68" t="inlineStr">
        <is>
          <t>ÄNGELHOLM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13243-2025</t>
        </is>
      </c>
      <c r="B69" s="1" t="n">
        <v>45735</v>
      </c>
      <c r="C69" s="1" t="n">
        <v>46198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58134-2022</t>
        </is>
      </c>
      <c r="B70" s="1" t="n">
        <v>44900</v>
      </c>
      <c r="C70" s="1" t="n">
        <v>46198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</v>
      </c>
      <c r="C71" s="1" t="n">
        <v>46198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43857-2025</t>
        </is>
      </c>
      <c r="B72" s="1" t="n">
        <v>45912</v>
      </c>
      <c r="C72" s="1" t="n">
        <v>46198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7811-2023</t>
        </is>
      </c>
      <c r="B73" s="1" t="n">
        <v>44973</v>
      </c>
      <c r="C73" s="1" t="n">
        <v>46198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58137-2022</t>
        </is>
      </c>
      <c r="B74" s="1" t="n">
        <v>44900</v>
      </c>
      <c r="C74" s="1" t="n">
        <v>46198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42105-2022</t>
        </is>
      </c>
      <c r="B75" s="1" t="n">
        <v>44830</v>
      </c>
      <c r="C75" s="1" t="n">
        <v>46198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50652-2023</t>
        </is>
      </c>
      <c r="B76" s="1" t="n">
        <v>45210</v>
      </c>
      <c r="C76" s="1" t="n">
        <v>46198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24855-2024</t>
        </is>
      </c>
      <c r="B77" s="1" t="n">
        <v>45461</v>
      </c>
      <c r="C77" s="1" t="n">
        <v>46198</v>
      </c>
      <c r="D77" t="inlineStr">
        <is>
          <t>SKÅNE LÄN</t>
        </is>
      </c>
      <c r="E77" t="inlineStr">
        <is>
          <t>ÄNGELHOLM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46198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4755-2024</t>
        </is>
      </c>
      <c r="B79" s="1" t="n">
        <v>45328</v>
      </c>
      <c r="C79" s="1" t="n">
        <v>46198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14400-2023</t>
        </is>
      </c>
      <c r="B80" s="1" t="n">
        <v>45012</v>
      </c>
      <c r="C80" s="1" t="n">
        <v>46198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23227-2023</t>
        </is>
      </c>
      <c r="B81" s="1" t="n">
        <v>45075</v>
      </c>
      <c r="C81" s="1" t="n">
        <v>46198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9578-2025</t>
        </is>
      </c>
      <c r="B82" s="1" t="n">
        <v>45715</v>
      </c>
      <c r="C82" s="1" t="n">
        <v>46198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52519-2025</t>
        </is>
      </c>
      <c r="B83" s="1" t="n">
        <v>45954</v>
      </c>
      <c r="C83" s="1" t="n">
        <v>46198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8882-2025</t>
        </is>
      </c>
      <c r="B84" s="1" t="n">
        <v>45713</v>
      </c>
      <c r="C84" s="1" t="n">
        <v>46198</v>
      </c>
      <c r="D84" t="inlineStr">
        <is>
          <t>SKÅNE LÄN</t>
        </is>
      </c>
      <c r="E84" t="inlineStr">
        <is>
          <t>ÄNGELHOLM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26978-2026</t>
        </is>
      </c>
      <c r="B85" s="1" t="n">
        <v>46185</v>
      </c>
      <c r="C85" s="1" t="n">
        <v>46198</v>
      </c>
      <c r="D85" t="inlineStr">
        <is>
          <t>SKÅNE LÄN</t>
        </is>
      </c>
      <c r="E85" t="inlineStr">
        <is>
          <t>ÄNGELHOLM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26986-2026</t>
        </is>
      </c>
      <c r="B86" s="1" t="n">
        <v>46185</v>
      </c>
      <c r="C86" s="1" t="n">
        <v>46198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27097-2026</t>
        </is>
      </c>
      <c r="B87" s="1" t="n">
        <v>46188</v>
      </c>
      <c r="C87" s="1" t="n">
        <v>46198</v>
      </c>
      <c r="D87" t="inlineStr">
        <is>
          <t>SKÅNE LÄN</t>
        </is>
      </c>
      <c r="E87" t="inlineStr">
        <is>
          <t>ÄNGELHOLM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55728-2025</t>
        </is>
      </c>
      <c r="B88" s="1" t="n">
        <v>45972</v>
      </c>
      <c r="C88" s="1" t="n">
        <v>46198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57725-2025</t>
        </is>
      </c>
      <c r="B89" s="1" t="n">
        <v>45981</v>
      </c>
      <c r="C89" s="1" t="n">
        <v>46198</v>
      </c>
      <c r="D89" t="inlineStr">
        <is>
          <t>SKÅNE LÄN</t>
        </is>
      </c>
      <c r="E89" t="inlineStr">
        <is>
          <t>ÄNGELHOLM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18571-2025</t>
        </is>
      </c>
      <c r="B90" s="1" t="n">
        <v>45763</v>
      </c>
      <c r="C90" s="1" t="n">
        <v>46198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16419-2023</t>
        </is>
      </c>
      <c r="B91" s="1" t="n">
        <v>45022</v>
      </c>
      <c r="C91" s="1" t="n">
        <v>46198</v>
      </c>
      <c r="D91" t="inlineStr">
        <is>
          <t>SKÅNE LÄN</t>
        </is>
      </c>
      <c r="E91" t="inlineStr">
        <is>
          <t>ÄNGELHOLM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27551-2023</t>
        </is>
      </c>
      <c r="B92" s="1" t="n">
        <v>45097</v>
      </c>
      <c r="C92" s="1" t="n">
        <v>46198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2575-2024</t>
        </is>
      </c>
      <c r="B93" s="1" t="n">
        <v>45313</v>
      </c>
      <c r="C93" s="1" t="n">
        <v>46198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60227-2025</t>
        </is>
      </c>
      <c r="B94" s="1" t="n">
        <v>45994</v>
      </c>
      <c r="C94" s="1" t="n">
        <v>46198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4089-2024</t>
        </is>
      </c>
      <c r="B95" s="1" t="n">
        <v>45323</v>
      </c>
      <c r="C95" s="1" t="n">
        <v>46198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28496-2023</t>
        </is>
      </c>
      <c r="B96" s="1" t="n">
        <v>45103</v>
      </c>
      <c r="C96" s="1" t="n">
        <v>46198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1299-2024</t>
        </is>
      </c>
      <c r="B97" s="1" t="n">
        <v>45303</v>
      </c>
      <c r="C97" s="1" t="n">
        <v>46198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32364-2023</t>
        </is>
      </c>
      <c r="B98" s="1" t="n">
        <v>45120</v>
      </c>
      <c r="C98" s="1" t="n">
        <v>46198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2505-2026</t>
        </is>
      </c>
      <c r="B99" s="1" t="n">
        <v>46037</v>
      </c>
      <c r="C99" s="1" t="n">
        <v>46198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31503-2023</t>
        </is>
      </c>
      <c r="B100" s="1" t="n">
        <v>45115</v>
      </c>
      <c r="C100" s="1" t="n">
        <v>46198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39014-2023</t>
        </is>
      </c>
      <c r="B101" s="1" t="n">
        <v>45163</v>
      </c>
      <c r="C101" s="1" t="n">
        <v>46198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4977-2026</t>
        </is>
      </c>
      <c r="B102" s="1" t="n">
        <v>46047</v>
      </c>
      <c r="C102" s="1" t="n">
        <v>46198</v>
      </c>
      <c r="D102" t="inlineStr">
        <is>
          <t>SKÅNE LÄN</t>
        </is>
      </c>
      <c r="E102" t="inlineStr">
        <is>
          <t>ÄNGELHOLM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31908-2023</t>
        </is>
      </c>
      <c r="B103" s="1" t="n">
        <v>45118</v>
      </c>
      <c r="C103" s="1" t="n">
        <v>46198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31502-2023</t>
        </is>
      </c>
      <c r="B104" s="1" t="n">
        <v>45115</v>
      </c>
      <c r="C104" s="1" t="n">
        <v>46198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28253-2023</t>
        </is>
      </c>
      <c r="B105" s="1" t="n">
        <v>45099</v>
      </c>
      <c r="C105" s="1" t="n">
        <v>46198</v>
      </c>
      <c r="D105" t="inlineStr">
        <is>
          <t>SKÅNE LÄN</t>
        </is>
      </c>
      <c r="E105" t="inlineStr">
        <is>
          <t>ÄNGELHOLM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21488-2023</t>
        </is>
      </c>
      <c r="B106" s="1" t="n">
        <v>45061</v>
      </c>
      <c r="C106" s="1" t="n">
        <v>46198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7994-2023</t>
        </is>
      </c>
      <c r="B107" s="1" t="n">
        <v>44973</v>
      </c>
      <c r="C107" s="1" t="n">
        <v>46198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7856-2026</t>
        </is>
      </c>
      <c r="B108" s="1" t="n">
        <v>46062</v>
      </c>
      <c r="C108" s="1" t="n">
        <v>46198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9055-2026</t>
        </is>
      </c>
      <c r="B109" s="1" t="n">
        <v>46069</v>
      </c>
      <c r="C109" s="1" t="n">
        <v>46198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27553-2023</t>
        </is>
      </c>
      <c r="B110" s="1" t="n">
        <v>45097</v>
      </c>
      <c r="C110" s="1" t="n">
        <v>46198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53501-2022</t>
        </is>
      </c>
      <c r="B111" s="1" t="n">
        <v>44879</v>
      </c>
      <c r="C111" s="1" t="n">
        <v>46198</v>
      </c>
      <c r="D111" t="inlineStr">
        <is>
          <t>SKÅNE LÄN</t>
        </is>
      </c>
      <c r="E111" t="inlineStr">
        <is>
          <t>ÄNGELHOLM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13278-2026</t>
        </is>
      </c>
      <c r="B112" s="1" t="n">
        <v>46093</v>
      </c>
      <c r="C112" s="1" t="n">
        <v>46198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54709-2023</t>
        </is>
      </c>
      <c r="B113" s="1" t="n">
        <v>45236</v>
      </c>
      <c r="C113" s="1" t="n">
        <v>46198</v>
      </c>
      <c r="D113" t="inlineStr">
        <is>
          <t>SKÅNE LÄN</t>
        </is>
      </c>
      <c r="E113" t="inlineStr">
        <is>
          <t>ÄNGELHOLM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12148-2024</t>
        </is>
      </c>
      <c r="B114" s="1" t="n">
        <v>45377</v>
      </c>
      <c r="C114" s="1" t="n">
        <v>46198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19500-2022</t>
        </is>
      </c>
      <c r="B115" s="1" t="n">
        <v>44693</v>
      </c>
      <c r="C115" s="1" t="n">
        <v>46198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4605-2025</t>
        </is>
      </c>
      <c r="B116" s="1" t="n">
        <v>45687</v>
      </c>
      <c r="C116" s="1" t="n">
        <v>46198</v>
      </c>
      <c r="D116" t="inlineStr">
        <is>
          <t>SKÅNE LÄN</t>
        </is>
      </c>
      <c r="E116" t="inlineStr">
        <is>
          <t>ÄNGELHOLM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31720-2023</t>
        </is>
      </c>
      <c r="B117" s="1" t="n">
        <v>45117</v>
      </c>
      <c r="C117" s="1" t="n">
        <v>46198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9803-2026</t>
        </is>
      </c>
      <c r="B118" s="1" t="n">
        <v>46072</v>
      </c>
      <c r="C118" s="1" t="n">
        <v>46198</v>
      </c>
      <c r="D118" t="inlineStr">
        <is>
          <t>SKÅNE LÄN</t>
        </is>
      </c>
      <c r="E118" t="inlineStr">
        <is>
          <t>ÄNGELHOLM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16314-2024</t>
        </is>
      </c>
      <c r="B119" s="1" t="n">
        <v>45407</v>
      </c>
      <c r="C119" s="1" t="n">
        <v>46198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34514-2023</t>
        </is>
      </c>
      <c r="B120" s="1" t="n">
        <v>45140</v>
      </c>
      <c r="C120" s="1" t="n">
        <v>46198</v>
      </c>
      <c r="D120" t="inlineStr">
        <is>
          <t>SKÅNE LÄN</t>
        </is>
      </c>
      <c r="E120" t="inlineStr">
        <is>
          <t>ÄNGELHOLM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19255-2026</t>
        </is>
      </c>
      <c r="B121" s="1" t="n">
        <v>46132</v>
      </c>
      <c r="C121" s="1" t="n">
        <v>46198</v>
      </c>
      <c r="D121" t="inlineStr">
        <is>
          <t>SKÅNE LÄN</t>
        </is>
      </c>
      <c r="E121" t="inlineStr">
        <is>
          <t>ÄNGELHOLM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19256-2026</t>
        </is>
      </c>
      <c r="B122" s="1" t="n">
        <v>46132</v>
      </c>
      <c r="C122" s="1" t="n">
        <v>46198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46613-2024</t>
        </is>
      </c>
      <c r="B123" s="1" t="n">
        <v>45583</v>
      </c>
      <c r="C123" s="1" t="n">
        <v>46198</v>
      </c>
      <c r="D123" t="inlineStr">
        <is>
          <t>SKÅNE LÄN</t>
        </is>
      </c>
      <c r="E123" t="inlineStr">
        <is>
          <t>ÄNGELHOLM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23976-2024</t>
        </is>
      </c>
      <c r="B124" s="1" t="n">
        <v>45456</v>
      </c>
      <c r="C124" s="1" t="n">
        <v>46198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24838-2026</t>
        </is>
      </c>
      <c r="B125" s="1" t="n">
        <v>46174</v>
      </c>
      <c r="C125" s="1" t="n">
        <v>46198</v>
      </c>
      <c r="D125" t="inlineStr">
        <is>
          <t>SKÅNE LÄN</t>
        </is>
      </c>
      <c r="E125" t="inlineStr">
        <is>
          <t>ÄNGELHOLM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40278-2023</t>
        </is>
      </c>
      <c r="B126" s="1" t="n">
        <v>45169</v>
      </c>
      <c r="C126" s="1" t="n">
        <v>46198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7707-2025</t>
        </is>
      </c>
      <c r="B127" s="1" t="n">
        <v>45705</v>
      </c>
      <c r="C127" s="1" t="n">
        <v>46198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7871-2025</t>
        </is>
      </c>
      <c r="B128" s="1" t="n">
        <v>45706</v>
      </c>
      <c r="C128" s="1" t="n">
        <v>46198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32430-2023</t>
        </is>
      </c>
      <c r="B129" s="1" t="n">
        <v>45120</v>
      </c>
      <c r="C129" s="1" t="n">
        <v>46198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29436-2024</t>
        </is>
      </c>
      <c r="B130" s="1" t="n">
        <v>45483</v>
      </c>
      <c r="C130" s="1" t="n">
        <v>46198</v>
      </c>
      <c r="D130" t="inlineStr">
        <is>
          <t>SKÅNE LÄN</t>
        </is>
      </c>
      <c r="E130" t="inlineStr">
        <is>
          <t>ÄNGELHOLM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58150-2024</t>
        </is>
      </c>
      <c r="B131" s="1" t="n">
        <v>45632</v>
      </c>
      <c r="C131" s="1" t="n">
        <v>46198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46198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46198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8665-2022</t>
        </is>
      </c>
      <c r="B134" s="1" t="n">
        <v>44613</v>
      </c>
      <c r="C134" s="1" t="n">
        <v>46198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60-2024</t>
        </is>
      </c>
      <c r="B135" s="1" t="n">
        <v>45293</v>
      </c>
      <c r="C135" s="1" t="n">
        <v>46198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607-2024</t>
        </is>
      </c>
      <c r="B136" s="1" t="n">
        <v>45299</v>
      </c>
      <c r="C136" s="1" t="n">
        <v>46198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49206-2024</t>
        </is>
      </c>
      <c r="B137" s="1" t="n">
        <v>45595</v>
      </c>
      <c r="C137" s="1" t="n">
        <v>46198</v>
      </c>
      <c r="D137" t="inlineStr">
        <is>
          <t>SKÅNE LÄN</t>
        </is>
      </c>
      <c r="E137" t="inlineStr">
        <is>
          <t>ÄNGELHOLM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19503-2022</t>
        </is>
      </c>
      <c r="B138" s="1" t="n">
        <v>44693</v>
      </c>
      <c r="C138" s="1" t="n">
        <v>46198</v>
      </c>
      <c r="D138" t="inlineStr">
        <is>
          <t>SKÅNE LÄN</t>
        </is>
      </c>
      <c r="E138" t="inlineStr">
        <is>
          <t>ÄNGELHOLM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57923-2024</t>
        </is>
      </c>
      <c r="B139" s="1" t="n">
        <v>45631</v>
      </c>
      <c r="C139" s="1" t="n">
        <v>46198</v>
      </c>
      <c r="D139" t="inlineStr">
        <is>
          <t>SKÅNE LÄN</t>
        </is>
      </c>
      <c r="E139" t="inlineStr">
        <is>
          <t>ÄNGELHOLM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20623-2025</t>
        </is>
      </c>
      <c r="B140" s="1" t="n">
        <v>45776</v>
      </c>
      <c r="C140" s="1" t="n">
        <v>46198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20635-2024</t>
        </is>
      </c>
      <c r="B141" s="1" t="n">
        <v>45436</v>
      </c>
      <c r="C141" s="1" t="n">
        <v>46198</v>
      </c>
      <c r="D141" t="inlineStr">
        <is>
          <t>SKÅNE LÄN</t>
        </is>
      </c>
      <c r="E141" t="inlineStr">
        <is>
          <t>ÄNGELHOLM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23980-2024</t>
        </is>
      </c>
      <c r="B142" s="1" t="n">
        <v>45456</v>
      </c>
      <c r="C142" s="1" t="n">
        <v>46198</v>
      </c>
      <c r="D142" t="inlineStr">
        <is>
          <t>SKÅNE LÄN</t>
        </is>
      </c>
      <c r="E142" t="inlineStr">
        <is>
          <t>ÄNGELHOLM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55748-2024</t>
        </is>
      </c>
      <c r="B143" s="1" t="n">
        <v>45623</v>
      </c>
      <c r="C143" s="1" t="n">
        <v>46198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48197-2024</t>
        </is>
      </c>
      <c r="B144" s="1" t="n">
        <v>45590</v>
      </c>
      <c r="C144" s="1" t="n">
        <v>46198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55529-2024</t>
        </is>
      </c>
      <c r="B145" s="1" t="n">
        <v>45622</v>
      </c>
      <c r="C145" s="1" t="n">
        <v>46198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32020-2025</t>
        </is>
      </c>
      <c r="B146" s="1" t="n">
        <v>45835</v>
      </c>
      <c r="C146" s="1" t="n">
        <v>46198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13662-2025</t>
        </is>
      </c>
      <c r="B147" s="1" t="n">
        <v>45736</v>
      </c>
      <c r="C147" s="1" t="n">
        <v>46198</v>
      </c>
      <c r="D147" t="inlineStr">
        <is>
          <t>SKÅNE LÄN</t>
        </is>
      </c>
      <c r="E147" t="inlineStr">
        <is>
          <t>ÄNGELHOLM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2026-06-25T00:44:41Z</dcterms:created>
  <dcterms:modified xmlns:dcterms="http://purl.org/dc/terms/" xmlns:xsi="http://www.w3.org/2001/XMLSchema-instance" xsi:type="dcterms:W3CDTF">2026-06-25T00:44:41Z</dcterms:modified>
</cp:coreProperties>
</file>