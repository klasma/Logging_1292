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46309</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46309</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46309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46309</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46309</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46309</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46309</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46309</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46309</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46309</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46309</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46309</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46309</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8065-2025</t>
        </is>
      </c>
      <c r="B22" t="inlineStr">
        <is>
          <t>avverkningsanmälan</t>
        </is>
      </c>
      <c r="C22" t="inlineStr">
        <is>
          <t>Föryngringsavverkning</t>
        </is>
      </c>
      <c r="D22" s="1" t="n">
        <v>45707</v>
      </c>
      <c r="E22" s="1" t="n">
        <v>46309</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905-2024</t>
        </is>
      </c>
      <c r="B23" t="inlineStr">
        <is>
          <t>avverkningsanmälan</t>
        </is>
      </c>
      <c r="C23" t="inlineStr">
        <is>
          <t>Föryngringsavverkning</t>
        </is>
      </c>
      <c r="D23" s="1" t="n">
        <v>45301</v>
      </c>
      <c r="E23" s="1" t="n">
        <v>46309</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3317-2026</t>
        </is>
      </c>
      <c r="B24" t="inlineStr">
        <is>
          <t>avverkningsanmälan</t>
        </is>
      </c>
      <c r="C24" t="inlineStr">
        <is>
          <t>Föryngringsavverkning</t>
        </is>
      </c>
      <c r="D24" s="1" t="n">
        <v>46041</v>
      </c>
      <c r="E24" s="1" t="n">
        <v>46309</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46309</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46309</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46309</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46309</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46309</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46309</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46309</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46309</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46309</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46309</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46309</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12150-2024</t>
        </is>
      </c>
      <c r="B36" t="inlineStr">
        <is>
          <t>avverkningsanmälan</t>
        </is>
      </c>
      <c r="C36" t="inlineStr">
        <is>
          <t>Föryngringsavverkning</t>
        </is>
      </c>
      <c r="D36" s="1" t="n">
        <v>45377</v>
      </c>
      <c r="E36" s="1" t="n">
        <v>46309</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4088-2024</t>
        </is>
      </c>
      <c r="B37" t="inlineStr">
        <is>
          <t>avverkningsanmälan</t>
        </is>
      </c>
      <c r="C37" t="inlineStr">
        <is>
          <t>Föryngringsavverkning</t>
        </is>
      </c>
      <c r="D37" s="1" t="n">
        <v>45323</v>
      </c>
      <c r="E37" s="1" t="n">
        <v>46309</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46487-2024</t>
        </is>
      </c>
      <c r="B38" t="inlineStr">
        <is>
          <t>avverkningsanmälan</t>
        </is>
      </c>
      <c r="C38" t="inlineStr">
        <is>
          <t>Föryngringsavverkning</t>
        </is>
      </c>
      <c r="D38" s="1" t="n">
        <v>45582</v>
      </c>
      <c r="E38" s="1" t="n">
        <v>46309</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50642-2023</t>
        </is>
      </c>
      <c r="B39" t="inlineStr">
        <is>
          <t>avverkningsanmälan</t>
        </is>
      </c>
      <c r="C39" t="inlineStr">
        <is>
          <t>Föryngringsavverkning</t>
        </is>
      </c>
      <c r="D39" s="1" t="n">
        <v>45210</v>
      </c>
      <c r="E39" s="1" t="n">
        <v>46309</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25129-2024</t>
        </is>
      </c>
      <c r="B40" t="inlineStr">
        <is>
          <t>avverkningsanmälan</t>
        </is>
      </c>
      <c r="C40" t="inlineStr">
        <is>
          <t>Föryngringsavverkning</t>
        </is>
      </c>
      <c r="D40" s="1" t="n">
        <v>45462</v>
      </c>
      <c r="E40" s="1" t="n">
        <v>46309</v>
      </c>
      <c r="F40" t="inlineStr">
        <is>
          <t>SKÅNE LÄN</t>
        </is>
      </c>
      <c r="G40" t="inlineStr">
        <is>
          <t>ÄNGELHOLM</t>
        </is>
      </c>
      <c r="I40" t="n">
        <v>4.6</v>
      </c>
      <c r="J40" t="n">
        <v>0</v>
      </c>
      <c r="K40" t="n">
        <v>0</v>
      </c>
      <c r="L40" t="n">
        <v>1</v>
      </c>
      <c r="M40" t="n">
        <v>0</v>
      </c>
      <c r="N40" t="n">
        <v>0</v>
      </c>
      <c r="O40" t="n">
        <v>0</v>
      </c>
      <c r="P40" t="n">
        <v>0</v>
      </c>
      <c r="Q40" t="n">
        <v>1</v>
      </c>
      <c r="R40" t="n">
        <v>0</v>
      </c>
      <c r="S40" t="n">
        <v>1</v>
      </c>
      <c r="T40" t="n">
        <v>1</v>
      </c>
      <c r="U40" t="n">
        <v>0</v>
      </c>
      <c r="V40" s="2" t="inlineStr">
        <is>
          <t>Gullpudra</t>
        </is>
      </c>
      <c r="W40">
        <f>HYPERLINK("https://klasma.github.io/Logging_1292/artfynd/A 25129-2024 artfynd.xlsx", "A 25129-2024")</f>
        <v/>
      </c>
      <c r="X40">
        <f>HYPERLINK("https://klasma.github.io/Logging_1292/kartor/A 25129-2024 karta.png", "A 25129-2024")</f>
        <v/>
      </c>
      <c r="Y40">
        <f>HYPERLINK("https://klasma.github.io/Logging_1292/kartor_geotiff/A 25129-2024 georefererad karta.tif", "A 25129-2024")</f>
        <v/>
      </c>
      <c r="AA40">
        <f>HYPERLINK("https://klasma.github.io/Logging_1292/klagomål/A 25129-2024 FSC-klagomål.docx", "A 25129-2024")</f>
        <v/>
      </c>
      <c r="AB40">
        <f>HYPERLINK("https://klasma.github.io/Logging_1292/klagomålsmail/A 25129-2024 FSC-klagomål mail.docx", "A 25129-2024")</f>
        <v/>
      </c>
      <c r="AC40">
        <f>HYPERLINK("https://klasma.github.io/Logging_1292/tillsyn/A 25129-2024 tillsynsbegäran.docx", "A 25129-2024")</f>
        <v/>
      </c>
      <c r="AD40">
        <f>HYPERLINK("https://klasma.github.io/Logging_1292/tillsynsmail/A 25129-2024 tillsynsbegäran mail.docx", "A 25129-2024")</f>
        <v/>
      </c>
    </row>
    <row r="41" ht="15" customHeight="1">
      <c r="A41" t="inlineStr">
        <is>
          <t>A 61094-2021</t>
        </is>
      </c>
      <c r="B41" t="inlineStr">
        <is>
          <t>avverkningsanmälan</t>
        </is>
      </c>
      <c r="C41" t="inlineStr">
        <is>
          <t>Föryngringsavverkning</t>
        </is>
      </c>
      <c r="D41" s="1" t="n">
        <v>44498</v>
      </c>
      <c r="E41" s="1" t="n">
        <v>46309</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44062-2022</t>
        </is>
      </c>
      <c r="B42" t="inlineStr">
        <is>
          <t>avverkningsanmälan</t>
        </is>
      </c>
      <c r="C42" t="inlineStr">
        <is>
          <t>Föryngringsavverkning</t>
        </is>
      </c>
      <c r="D42" s="1" t="n">
        <v>44839</v>
      </c>
      <c r="E42" s="1" t="n">
        <v>46309</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27094-2026</t>
        </is>
      </c>
      <c r="B43" t="inlineStr">
        <is>
          <t>avverkningsanmälan</t>
        </is>
      </c>
      <c r="C43" t="inlineStr">
        <is>
          <t>Föryngringsavverkning</t>
        </is>
      </c>
      <c r="D43" s="1" t="n">
        <v>46188</v>
      </c>
      <c r="E43" s="1" t="n">
        <v>46309</v>
      </c>
      <c r="F43" t="inlineStr">
        <is>
          <t>SKÅNE LÄN</t>
        </is>
      </c>
      <c r="G43" t="inlineStr">
        <is>
          <t>ÄNGELHOLM</t>
        </is>
      </c>
      <c r="I43" t="n">
        <v>6.2</v>
      </c>
      <c r="J43" t="n">
        <v>0</v>
      </c>
      <c r="K43" t="n">
        <v>1</v>
      </c>
      <c r="L43" t="n">
        <v>0</v>
      </c>
      <c r="M43" t="n">
        <v>0</v>
      </c>
      <c r="N43" t="n">
        <v>0</v>
      </c>
      <c r="O43" t="n">
        <v>0</v>
      </c>
      <c r="P43" t="n">
        <v>0</v>
      </c>
      <c r="Q43" t="n">
        <v>0</v>
      </c>
      <c r="R43" t="n">
        <v>0</v>
      </c>
      <c r="S43" t="n">
        <v>1</v>
      </c>
      <c r="T43" t="n">
        <v>1</v>
      </c>
      <c r="U43" t="n">
        <v>0</v>
      </c>
      <c r="V43" s="2" t="inlineStr">
        <is>
          <t>Västlig hakmossa</t>
        </is>
      </c>
      <c r="W43">
        <f>HYPERLINK("https://klasma.github.io/Logging_1292/artfynd/A 27094-2026 artfynd.xlsx", "A 27094-2026")</f>
        <v/>
      </c>
      <c r="X43">
        <f>HYPERLINK("https://klasma.github.io/Logging_1292/kartor/A 27094-2026 karta.png", "A 27094-2026")</f>
        <v/>
      </c>
      <c r="Y43">
        <f>HYPERLINK("https://klasma.github.io/Logging_1292/kartor_geotiff/A 27094-2026 georefererad karta.tif", "A 27094-2026")</f>
        <v/>
      </c>
      <c r="AA43">
        <f>HYPERLINK("https://klasma.github.io/Logging_1292/klagomål/A 27094-2026 FSC-klagomål.docx", "A 27094-2026")</f>
        <v/>
      </c>
      <c r="AB43">
        <f>HYPERLINK("https://klasma.github.io/Logging_1292/klagomålsmail/A 27094-2026 FSC-klagomål mail.docx", "A 27094-2026")</f>
        <v/>
      </c>
      <c r="AC43">
        <f>HYPERLINK("https://klasma.github.io/Logging_1292/tillsyn/A 27094-2026 tillsynsbegäran.docx", "A 27094-2026")</f>
        <v/>
      </c>
      <c r="AD43">
        <f>HYPERLINK("https://klasma.github.io/Logging_1292/tillsynsmail/A 27094-2026 tillsynsbegäran mail.docx", "A 27094-2026")</f>
        <v/>
      </c>
    </row>
    <row r="44" ht="15" customHeight="1">
      <c r="A44" t="inlineStr">
        <is>
          <t>A 31599-2026</t>
        </is>
      </c>
      <c r="B44" t="inlineStr">
        <is>
          <t>avverkningsanmälan</t>
        </is>
      </c>
      <c r="C44" t="inlineStr">
        <is>
          <t>Föryngringsavverkning</t>
        </is>
      </c>
      <c r="D44" s="1" t="n">
        <v>46224</v>
      </c>
      <c r="E44" s="1" t="n">
        <v>46309</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46309</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46309</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46309</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46309</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46309</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46309</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46309</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46309</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46309</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46309</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46309</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46309</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46309</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46309</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46309</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46309</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9578-2025</t>
        </is>
      </c>
      <c r="B61" t="inlineStr">
        <is>
          <t>avverkningsanmälan</t>
        </is>
      </c>
      <c r="C61" t="inlineStr">
        <is>
          <t>Föryngringsavverkning</t>
        </is>
      </c>
      <c r="D61" s="1" t="n">
        <v>45715</v>
      </c>
      <c r="E61" s="1" t="n">
        <v>46309</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53501-2022</t>
        </is>
      </c>
      <c r="B62" t="inlineStr">
        <is>
          <t>avverkningsanmälan</t>
        </is>
      </c>
      <c r="C62" t="inlineStr">
        <is>
          <t>Föryngringsavverkning</t>
        </is>
      </c>
      <c r="D62" s="1" t="n">
        <v>44879</v>
      </c>
      <c r="E62" s="1" t="n">
        <v>46309</v>
      </c>
      <c r="F62" t="inlineStr">
        <is>
          <t>SKÅNE LÄN</t>
        </is>
      </c>
      <c r="G62" t="inlineStr">
        <is>
          <t>ÄNGELHOLM</t>
        </is>
      </c>
      <c r="I62" t="n">
        <v>7.2</v>
      </c>
      <c r="J62" t="n">
        <v>0</v>
      </c>
      <c r="K62" t="n">
        <v>0</v>
      </c>
      <c r="L62" t="n">
        <v>0</v>
      </c>
      <c r="M62" t="n">
        <v>0</v>
      </c>
      <c r="N62" t="n">
        <v>0</v>
      </c>
      <c r="O62" t="n">
        <v>0</v>
      </c>
      <c r="P62" t="n">
        <v>0</v>
      </c>
      <c r="Q62" t="n">
        <v>0</v>
      </c>
      <c r="R62" t="n">
        <v>0</v>
      </c>
      <c r="S62" t="n">
        <v>0</v>
      </c>
      <c r="T62" t="n">
        <v>0</v>
      </c>
      <c r="U62" t="n">
        <v>0</v>
      </c>
      <c r="V62" s="2" t="inlineStr"/>
    </row>
    <row r="63" ht="15" customHeight="1">
      <c r="A63" t="inlineStr">
        <is>
          <t>A 27551-2023</t>
        </is>
      </c>
      <c r="B63" t="inlineStr">
        <is>
          <t>avverkningsanmälan</t>
        </is>
      </c>
      <c r="C63" t="inlineStr">
        <is>
          <t>Föryngringsavverkning</t>
        </is>
      </c>
      <c r="D63" s="1" t="n">
        <v>45097</v>
      </c>
      <c r="E63" s="1" t="n">
        <v>46309</v>
      </c>
      <c r="F63" t="inlineStr">
        <is>
          <t>SKÅNE LÄN</t>
        </is>
      </c>
      <c r="G63" t="inlineStr">
        <is>
          <t>ÄNGELHOLM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46309</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64728-2023</t>
        </is>
      </c>
      <c r="B65" t="inlineStr">
        <is>
          <t>avverkningsanmälan</t>
        </is>
      </c>
      <c r="C65" t="inlineStr">
        <is>
          <t>Föryngringsavverkning</t>
        </is>
      </c>
      <c r="D65" s="1" t="n">
        <v>45281</v>
      </c>
      <c r="E65" s="1" t="n">
        <v>46309</v>
      </c>
      <c r="F65" t="inlineStr">
        <is>
          <t>SKÅNE LÄN</t>
        </is>
      </c>
      <c r="G65" t="inlineStr">
        <is>
          <t>ÄNGELHOLM</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31720-2023</t>
        </is>
      </c>
      <c r="B66" t="inlineStr">
        <is>
          <t>avverkningsanmälan</t>
        </is>
      </c>
      <c r="C66" t="inlineStr">
        <is>
          <t>Föryngringsavverkning</t>
        </is>
      </c>
      <c r="D66" s="1" t="n">
        <v>45117</v>
      </c>
      <c r="E66" s="1" t="n">
        <v>46309</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46309</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46309</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46309</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46309</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46309</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42826-2025</t>
        </is>
      </c>
      <c r="B72" t="inlineStr">
        <is>
          <t>avverkningsanmälan</t>
        </is>
      </c>
      <c r="C72" t="inlineStr">
        <is>
          <t>Föryngringsavverkning</t>
        </is>
      </c>
      <c r="D72" s="1" t="n">
        <v>45908</v>
      </c>
      <c r="E72" s="1" t="n">
        <v>46309</v>
      </c>
      <c r="F72" t="inlineStr">
        <is>
          <t>SKÅNE LÄN</t>
        </is>
      </c>
      <c r="G72" t="inlineStr">
        <is>
          <t>ÄNGELHOLM</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55529-2024</t>
        </is>
      </c>
      <c r="B73" t="inlineStr">
        <is>
          <t>avverkningsanmälan</t>
        </is>
      </c>
      <c r="C73" t="inlineStr">
        <is>
          <t>Föryngringsavverkning</t>
        </is>
      </c>
      <c r="D73" s="1" t="n">
        <v>45622</v>
      </c>
      <c r="E73" s="1" t="n">
        <v>46309</v>
      </c>
      <c r="F73" t="inlineStr">
        <is>
          <t>SKÅNE LÄN</t>
        </is>
      </c>
      <c r="G73" t="inlineStr">
        <is>
          <t>ÄNGELHOLM</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55544-2022</t>
        </is>
      </c>
      <c r="B74" t="inlineStr">
        <is>
          <t>avverkningsanmälan</t>
        </is>
      </c>
      <c r="C74" t="inlineStr">
        <is>
          <t>Föryngringsavverkning</t>
        </is>
      </c>
      <c r="D74" s="1" t="n">
        <v>44887</v>
      </c>
      <c r="E74" s="1" t="n">
        <v>46309</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23976-2024</t>
        </is>
      </c>
      <c r="B75" t="inlineStr">
        <is>
          <t>avverkningsanmälan</t>
        </is>
      </c>
      <c r="C75" t="inlineStr">
        <is>
          <t>Föryngringsavverkning</t>
        </is>
      </c>
      <c r="D75" s="1" t="n">
        <v>45456</v>
      </c>
      <c r="E75" s="1" t="n">
        <v>46309</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27553-2023</t>
        </is>
      </c>
      <c r="B76" t="inlineStr">
        <is>
          <t>avverkningsanmälan</t>
        </is>
      </c>
      <c r="C76" t="inlineStr">
        <is>
          <t>Föryngringsavverkning</t>
        </is>
      </c>
      <c r="D76" s="1" t="n">
        <v>45097</v>
      </c>
      <c r="E76" s="1" t="n">
        <v>46309</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46309</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13662-2025</t>
        </is>
      </c>
      <c r="B78" t="inlineStr">
        <is>
          <t>avverkningsanmälan</t>
        </is>
      </c>
      <c r="C78" t="inlineStr">
        <is>
          <t>Föryngringsavverkning</t>
        </is>
      </c>
      <c r="D78" s="1" t="n">
        <v>45736</v>
      </c>
      <c r="E78" s="1" t="n">
        <v>46309</v>
      </c>
      <c r="F78" t="inlineStr">
        <is>
          <t>SKÅNE LÄN</t>
        </is>
      </c>
      <c r="G78" t="inlineStr">
        <is>
          <t>ÄNGELHOLM</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28253-2023</t>
        </is>
      </c>
      <c r="B79" t="inlineStr">
        <is>
          <t>avverkningsanmälan</t>
        </is>
      </c>
      <c r="C79" t="inlineStr">
        <is>
          <t>Föryngringsavverkning</t>
        </is>
      </c>
      <c r="D79" s="1" t="n">
        <v>45099</v>
      </c>
      <c r="E79" s="1" t="n">
        <v>46309</v>
      </c>
      <c r="F79" t="inlineStr">
        <is>
          <t>SKÅNE LÄN</t>
        </is>
      </c>
      <c r="G79" t="inlineStr">
        <is>
          <t>ÄNGELHOLM</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16419-2023</t>
        </is>
      </c>
      <c r="B80" t="inlineStr">
        <is>
          <t>avverkningsanmälan</t>
        </is>
      </c>
      <c r="C80" t="inlineStr">
        <is>
          <t>Föryngringsavverkning</t>
        </is>
      </c>
      <c r="D80" s="1" t="n">
        <v>45022</v>
      </c>
      <c r="E80" s="1" t="n">
        <v>46309</v>
      </c>
      <c r="F80" t="inlineStr">
        <is>
          <t>SKÅNE LÄN</t>
        </is>
      </c>
      <c r="G80" t="inlineStr">
        <is>
          <t>ÄNGELHOLM</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19503-2022</t>
        </is>
      </c>
      <c r="B81" t="inlineStr">
        <is>
          <t>avverkningsanmälan</t>
        </is>
      </c>
      <c r="C81" t="inlineStr">
        <is>
          <t>Föryngringsavverkning</t>
        </is>
      </c>
      <c r="D81" s="1" t="n">
        <v>44693</v>
      </c>
      <c r="E81" s="1" t="n">
        <v>46309</v>
      </c>
      <c r="F81" t="inlineStr">
        <is>
          <t>SKÅNE LÄN</t>
        </is>
      </c>
      <c r="G81" t="inlineStr">
        <is>
          <t>ÄNGELHOLM</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52519-2025</t>
        </is>
      </c>
      <c r="B82" t="inlineStr">
        <is>
          <t>avverkningsanmälan</t>
        </is>
      </c>
      <c r="C82" t="inlineStr">
        <is>
          <t>Föryngringsavverkning</t>
        </is>
      </c>
      <c r="D82" s="1" t="n">
        <v>45954</v>
      </c>
      <c r="E82" s="1" t="n">
        <v>46309</v>
      </c>
      <c r="F82" t="inlineStr">
        <is>
          <t>SKÅNE LÄN</t>
        </is>
      </c>
      <c r="G82" t="inlineStr">
        <is>
          <t>ÄNGELHOLM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46702-2024</t>
        </is>
      </c>
      <c r="B83" t="inlineStr">
        <is>
          <t>avverkningsanmälan</t>
        </is>
      </c>
      <c r="C83" t="inlineStr">
        <is>
          <t>Föryngringsavverkning</t>
        </is>
      </c>
      <c r="D83" s="1" t="n">
        <v>45583</v>
      </c>
      <c r="E83" s="1" t="n">
        <v>46309</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55728-2025</t>
        </is>
      </c>
      <c r="B84" t="inlineStr">
        <is>
          <t>avverkningsanmälan</t>
        </is>
      </c>
      <c r="C84" t="inlineStr">
        <is>
          <t>Föryngringsavverkning</t>
        </is>
      </c>
      <c r="D84" s="1" t="n">
        <v>45972</v>
      </c>
      <c r="E84" s="1" t="n">
        <v>46309</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49206-2024</t>
        </is>
      </c>
      <c r="B85" t="inlineStr">
        <is>
          <t>avverkningsanmälan</t>
        </is>
      </c>
      <c r="C85" t="inlineStr">
        <is>
          <t>Föryngringsavverkning</t>
        </is>
      </c>
      <c r="D85" s="1" t="n">
        <v>45595</v>
      </c>
      <c r="E85" s="1" t="n">
        <v>46309</v>
      </c>
      <c r="F85" t="inlineStr">
        <is>
          <t>SKÅNE LÄN</t>
        </is>
      </c>
      <c r="G85" t="inlineStr">
        <is>
          <t>ÄNGELHOLM</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57725-2025</t>
        </is>
      </c>
      <c r="B86" t="inlineStr">
        <is>
          <t>avverkningsanmälan</t>
        </is>
      </c>
      <c r="C86" t="inlineStr">
        <is>
          <t>Föryngringsavverkning</t>
        </is>
      </c>
      <c r="D86" s="1" t="n">
        <v>45981</v>
      </c>
      <c r="E86" s="1" t="n">
        <v>46309</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31503-2023</t>
        </is>
      </c>
      <c r="B87" t="inlineStr">
        <is>
          <t>avverkningsanmälan</t>
        </is>
      </c>
      <c r="C87" t="inlineStr">
        <is>
          <t>Föryngringsavverkning</t>
        </is>
      </c>
      <c r="D87" s="1" t="n">
        <v>45115</v>
      </c>
      <c r="E87" s="1" t="n">
        <v>46309</v>
      </c>
      <c r="F87" t="inlineStr">
        <is>
          <t>SKÅNE LÄN</t>
        </is>
      </c>
      <c r="G87" t="inlineStr">
        <is>
          <t>ÄNGELHOLM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9055-2026</t>
        </is>
      </c>
      <c r="B88" t="inlineStr">
        <is>
          <t>avverkningsanmälan</t>
        </is>
      </c>
      <c r="C88" t="inlineStr">
        <is>
          <t>Föryngringsavverkning</t>
        </is>
      </c>
      <c r="D88" s="1" t="n">
        <v>46069</v>
      </c>
      <c r="E88" s="1" t="n">
        <v>46309</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23328-2022</t>
        </is>
      </c>
      <c r="B89" t="inlineStr">
        <is>
          <t>avverkningsanmälan</t>
        </is>
      </c>
      <c r="C89" t="inlineStr">
        <is>
          <t>Föryngringsavverkning</t>
        </is>
      </c>
      <c r="D89" s="1" t="n">
        <v>44720</v>
      </c>
      <c r="E89" s="1" t="n">
        <v>46309</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32364-2023</t>
        </is>
      </c>
      <c r="B90" t="inlineStr">
        <is>
          <t>avverkningsanmälan</t>
        </is>
      </c>
      <c r="C90" t="inlineStr">
        <is>
          <t>Föryngringsavverkning</t>
        </is>
      </c>
      <c r="D90" s="1" t="n">
        <v>45120</v>
      </c>
      <c r="E90" s="1" t="n">
        <v>46309</v>
      </c>
      <c r="F90" t="inlineStr">
        <is>
          <t>SKÅNE LÄN</t>
        </is>
      </c>
      <c r="G90" t="inlineStr">
        <is>
          <t>ÄNGELHOLM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8139-2025</t>
        </is>
      </c>
      <c r="B91" t="inlineStr">
        <is>
          <t>avverkningsanmälan</t>
        </is>
      </c>
      <c r="C91" t="inlineStr">
        <is>
          <t>Föryngringsavverkning</t>
        </is>
      </c>
      <c r="D91" s="1" t="n">
        <v>45708</v>
      </c>
      <c r="E91" s="1" t="n">
        <v>46309</v>
      </c>
      <c r="F91" t="inlineStr">
        <is>
          <t>SKÅNE LÄN</t>
        </is>
      </c>
      <c r="G91" t="inlineStr">
        <is>
          <t>ÄNGELHOLM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40275-2023</t>
        </is>
      </c>
      <c r="B92" t="inlineStr">
        <is>
          <t>avverkningsanmälan</t>
        </is>
      </c>
      <c r="C92" t="inlineStr">
        <is>
          <t>Föryngringsavverkning</t>
        </is>
      </c>
      <c r="D92" s="1" t="n">
        <v>45169</v>
      </c>
      <c r="E92" s="1" t="n">
        <v>46309</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1644-2025</t>
        </is>
      </c>
      <c r="B93" t="inlineStr">
        <is>
          <t>avverkningsanmälan</t>
        </is>
      </c>
      <c r="C93" t="inlineStr">
        <is>
          <t>Föryngringsavverkning</t>
        </is>
      </c>
      <c r="D93" s="1" t="n">
        <v>45670</v>
      </c>
      <c r="E93" s="1" t="n">
        <v>46309</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24855-2024</t>
        </is>
      </c>
      <c r="B94" t="inlineStr">
        <is>
          <t>avverkningsanmälan</t>
        </is>
      </c>
      <c r="C94" t="inlineStr">
        <is>
          <t>Föryngringsavverkning</t>
        </is>
      </c>
      <c r="D94" s="1" t="n">
        <v>45461</v>
      </c>
      <c r="E94" s="1" t="n">
        <v>46309</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9803-2026</t>
        </is>
      </c>
      <c r="B95" t="inlineStr">
        <is>
          <t>avverkningsanmälan</t>
        </is>
      </c>
      <c r="C95" t="inlineStr">
        <is>
          <t>Föryngringsavverkning</t>
        </is>
      </c>
      <c r="D95" s="1" t="n">
        <v>46072</v>
      </c>
      <c r="E95" s="1" t="n">
        <v>46309</v>
      </c>
      <c r="F95" t="inlineStr">
        <is>
          <t>SKÅNE LÄN</t>
        </is>
      </c>
      <c r="G95" t="inlineStr">
        <is>
          <t>ÄNGELHOLM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7871-2025</t>
        </is>
      </c>
      <c r="B96" t="inlineStr">
        <is>
          <t>avverkningsanmälan</t>
        </is>
      </c>
      <c r="C96" t="inlineStr">
        <is>
          <t>Föryngringsavverkning</t>
        </is>
      </c>
      <c r="D96" s="1" t="n">
        <v>45706</v>
      </c>
      <c r="E96" s="1" t="n">
        <v>46309</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13243-2025</t>
        </is>
      </c>
      <c r="B97" t="inlineStr">
        <is>
          <t>avverkningsanmälan</t>
        </is>
      </c>
      <c r="C97" t="inlineStr">
        <is>
          <t>Föryngringsavverkning</t>
        </is>
      </c>
      <c r="D97" s="1" t="n">
        <v>45735</v>
      </c>
      <c r="E97" s="1" t="n">
        <v>46309</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6667-2025</t>
        </is>
      </c>
      <c r="B98" t="inlineStr">
        <is>
          <t>avverkningsanmälan</t>
        </is>
      </c>
      <c r="C98" t="inlineStr">
        <is>
          <t>Föryngringsavverkning</t>
        </is>
      </c>
      <c r="D98" s="1" t="n">
        <v>45700</v>
      </c>
      <c r="E98" s="1" t="n">
        <v>46309</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19650-2026</t>
        </is>
      </c>
      <c r="B99" t="inlineStr">
        <is>
          <t>avverkningsanmälan</t>
        </is>
      </c>
      <c r="C99" t="inlineStr">
        <is>
          <t>Föryngringsavverkning</t>
        </is>
      </c>
      <c r="D99" s="1" t="n">
        <v>46134</v>
      </c>
      <c r="E99" s="1" t="n">
        <v>46309</v>
      </c>
      <c r="F99" t="inlineStr">
        <is>
          <t>SKÅNE LÄN</t>
        </is>
      </c>
      <c r="G99" t="inlineStr">
        <is>
          <t>ÄNGELHOLM</t>
        </is>
      </c>
      <c r="I99" t="n">
        <v>8</v>
      </c>
      <c r="J99" t="n">
        <v>0</v>
      </c>
      <c r="K99" t="n">
        <v>0</v>
      </c>
      <c r="L99" t="n">
        <v>0</v>
      </c>
      <c r="M99" t="n">
        <v>0</v>
      </c>
      <c r="N99" t="n">
        <v>0</v>
      </c>
      <c r="O99" t="n">
        <v>0</v>
      </c>
      <c r="P99" t="n">
        <v>0</v>
      </c>
      <c r="Q99" t="n">
        <v>0</v>
      </c>
      <c r="R99" t="n">
        <v>0</v>
      </c>
      <c r="S99" t="n">
        <v>0</v>
      </c>
      <c r="T99" t="n">
        <v>0</v>
      </c>
      <c r="U99" t="n">
        <v>0</v>
      </c>
      <c r="V99" s="2" t="inlineStr"/>
    </row>
    <row r="100" ht="15" customHeight="1">
      <c r="A100" t="inlineStr">
        <is>
          <t>A 58137-2022</t>
        </is>
      </c>
      <c r="B100" t="inlineStr">
        <is>
          <t>avverkningsanmälan</t>
        </is>
      </c>
      <c r="C100" t="inlineStr">
        <is>
          <t>Föryngringsavverkning</t>
        </is>
      </c>
      <c r="D100" s="1" t="n">
        <v>44900</v>
      </c>
      <c r="E100" s="1" t="n">
        <v>46309</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2575-2024</t>
        </is>
      </c>
      <c r="B101" t="inlineStr">
        <is>
          <t>avverkningsanmälan</t>
        </is>
      </c>
      <c r="C101" t="inlineStr">
        <is>
          <t>Föryngringsavverkning</t>
        </is>
      </c>
      <c r="D101" s="1" t="n">
        <v>45313</v>
      </c>
      <c r="E101" s="1" t="n">
        <v>46309</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31502-2023</t>
        </is>
      </c>
      <c r="B102" t="inlineStr">
        <is>
          <t>avverkningsanmälan</t>
        </is>
      </c>
      <c r="C102" t="inlineStr">
        <is>
          <t>Föryngringsavverkning</t>
        </is>
      </c>
      <c r="D102" s="1" t="n">
        <v>45115</v>
      </c>
      <c r="E102" s="1" t="n">
        <v>46309</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7707-2025</t>
        </is>
      </c>
      <c r="B103" t="inlineStr">
        <is>
          <t>avverkningsanmälan</t>
        </is>
      </c>
      <c r="C103" t="inlineStr">
        <is>
          <t>Föryngringsavverkning</t>
        </is>
      </c>
      <c r="D103" s="1" t="n">
        <v>45705</v>
      </c>
      <c r="E103" s="1" t="n">
        <v>46309</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58134-2022</t>
        </is>
      </c>
      <c r="B104" t="inlineStr">
        <is>
          <t>avverkningsanmälan</t>
        </is>
      </c>
      <c r="C104" t="inlineStr">
        <is>
          <t>Föryngringsavverkning</t>
        </is>
      </c>
      <c r="D104" s="1" t="n">
        <v>44900</v>
      </c>
      <c r="E104" s="1" t="n">
        <v>46309</v>
      </c>
      <c r="F104" t="inlineStr">
        <is>
          <t>SKÅNE LÄN</t>
        </is>
      </c>
      <c r="G104" t="inlineStr">
        <is>
          <t>ÄNGELHOLM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46286-2024</t>
        </is>
      </c>
      <c r="B105" t="inlineStr">
        <is>
          <t>avverkningsanmälan</t>
        </is>
      </c>
      <c r="C105" t="inlineStr">
        <is>
          <t>Föryngringsavverkning</t>
        </is>
      </c>
      <c r="D105" s="1" t="n">
        <v>45581</v>
      </c>
      <c r="E105" s="1" t="n">
        <v>46309</v>
      </c>
      <c r="F105" t="inlineStr">
        <is>
          <t>SKÅNE LÄN</t>
        </is>
      </c>
      <c r="G105" t="inlineStr">
        <is>
          <t>ÄNGELHOLM</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74214-2021</t>
        </is>
      </c>
      <c r="B106" t="inlineStr">
        <is>
          <t>avverkningsanmälan</t>
        </is>
      </c>
      <c r="C106" t="inlineStr">
        <is>
          <t>Föryngringsavverkning</t>
        </is>
      </c>
      <c r="D106" s="1" t="n">
        <v>44553</v>
      </c>
      <c r="E106" s="1" t="n">
        <v>46309</v>
      </c>
      <c r="F106" t="inlineStr">
        <is>
          <t>SKÅNE LÄN</t>
        </is>
      </c>
      <c r="G106" t="inlineStr">
        <is>
          <t>ÄNGELHOLM</t>
        </is>
      </c>
      <c r="I106" t="n">
        <v>19.8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7994-2023</t>
        </is>
      </c>
      <c r="B107" t="inlineStr">
        <is>
          <t>avverkningsanmälan</t>
        </is>
      </c>
      <c r="C107" t="inlineStr">
        <is>
          <t>Föryngringsavverkning</t>
        </is>
      </c>
      <c r="D107" s="1" t="n">
        <v>44973</v>
      </c>
      <c r="E107" s="1" t="n">
        <v>46309</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8665-2022</t>
        </is>
      </c>
      <c r="B108" t="inlineStr">
        <is>
          <t>avverkningsanmälan</t>
        </is>
      </c>
      <c r="C108" t="inlineStr">
        <is>
          <t>Föryngringsavverkning</t>
        </is>
      </c>
      <c r="D108" s="1" t="n">
        <v>44613</v>
      </c>
      <c r="E108" s="1" t="n">
        <v>46309</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18571-2025</t>
        </is>
      </c>
      <c r="B109" t="inlineStr">
        <is>
          <t>avverkningsanmälan</t>
        </is>
      </c>
      <c r="C109" t="inlineStr">
        <is>
          <t>Föryngringsavverkning</t>
        </is>
      </c>
      <c r="D109" s="1" t="n">
        <v>45763</v>
      </c>
      <c r="E109" s="1" t="n">
        <v>46309</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31709-2023</t>
        </is>
      </c>
      <c r="B110" t="inlineStr">
        <is>
          <t>avverkningsanmälan</t>
        </is>
      </c>
      <c r="C110" t="inlineStr">
        <is>
          <t>Föryngringsavverkning</t>
        </is>
      </c>
      <c r="D110" s="1" t="n">
        <v>45117</v>
      </c>
      <c r="E110" s="1" t="n">
        <v>46309</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23227-2023</t>
        </is>
      </c>
      <c r="B111" t="inlineStr">
        <is>
          <t>avverkningsanmälan</t>
        </is>
      </c>
      <c r="C111" t="inlineStr">
        <is>
          <t>Föryngringsavverkning</t>
        </is>
      </c>
      <c r="D111" s="1" t="n">
        <v>45075</v>
      </c>
      <c r="E111" s="1" t="n">
        <v>46309</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50652-2023</t>
        </is>
      </c>
      <c r="B112" t="inlineStr">
        <is>
          <t>avverkningsanmälan</t>
        </is>
      </c>
      <c r="C112" t="inlineStr">
        <is>
          <t>Föryngringsavverkning</t>
        </is>
      </c>
      <c r="D112" s="1" t="n">
        <v>45210</v>
      </c>
      <c r="E112" s="1" t="n">
        <v>46309</v>
      </c>
      <c r="F112" t="inlineStr">
        <is>
          <t>SKÅNE LÄN</t>
        </is>
      </c>
      <c r="G112" t="inlineStr">
        <is>
          <t>ÄNGELHOLM</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40278-2023</t>
        </is>
      </c>
      <c r="B113" t="inlineStr">
        <is>
          <t>avverkningsanmälan</t>
        </is>
      </c>
      <c r="C113" t="inlineStr">
        <is>
          <t>Föryngringsavverkning</t>
        </is>
      </c>
      <c r="D113" s="1" t="n">
        <v>45169</v>
      </c>
      <c r="E113" s="1" t="n">
        <v>46309</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31789-2023</t>
        </is>
      </c>
      <c r="B114" t="inlineStr">
        <is>
          <t>avverkningsanmälan</t>
        </is>
      </c>
      <c r="C114" t="inlineStr">
        <is>
          <t>Föryngringsavverkning</t>
        </is>
      </c>
      <c r="D114" s="1" t="n">
        <v>45118</v>
      </c>
      <c r="E114" s="1" t="n">
        <v>46309</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60227-2025</t>
        </is>
      </c>
      <c r="B115" t="inlineStr">
        <is>
          <t>avverkningsanmälan</t>
        </is>
      </c>
      <c r="C115" t="inlineStr">
        <is>
          <t>Föryngringsavverkning</t>
        </is>
      </c>
      <c r="D115" s="1" t="n">
        <v>45994</v>
      </c>
      <c r="E115" s="1" t="n">
        <v>46309</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43857-2025</t>
        </is>
      </c>
      <c r="B116" t="inlineStr">
        <is>
          <t>avverkningsanmälan</t>
        </is>
      </c>
      <c r="C116" t="inlineStr">
        <is>
          <t>Föryngringsavverkning</t>
        </is>
      </c>
      <c r="D116" s="1" t="n">
        <v>45912</v>
      </c>
      <c r="E116" s="1" t="n">
        <v>46309</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13278-2026</t>
        </is>
      </c>
      <c r="B117" t="inlineStr">
        <is>
          <t>avverkningsanmälan</t>
        </is>
      </c>
      <c r="C117" t="inlineStr">
        <is>
          <t>Föryngringsavverkning</t>
        </is>
      </c>
      <c r="D117" s="1" t="n">
        <v>46093</v>
      </c>
      <c r="E117" s="1" t="n">
        <v>46309</v>
      </c>
      <c r="F117" t="inlineStr">
        <is>
          <t>SKÅNE LÄN</t>
        </is>
      </c>
      <c r="G117" t="inlineStr">
        <is>
          <t>ÄNGELHOLM</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39014-2023</t>
        </is>
      </c>
      <c r="B118" t="inlineStr">
        <is>
          <t>avverkningsanmälan</t>
        </is>
      </c>
      <c r="C118" t="inlineStr">
        <is>
          <t>Föryngringsavverkning</t>
        </is>
      </c>
      <c r="D118" s="1" t="n">
        <v>45163</v>
      </c>
      <c r="E118" s="1" t="n">
        <v>46309</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46309</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44448-2023</t>
        </is>
      </c>
      <c r="B120" t="inlineStr">
        <is>
          <t>avverkningsanmälan</t>
        </is>
      </c>
      <c r="C120" t="inlineStr">
        <is>
          <t>Föryngringsavverkning</t>
        </is>
      </c>
      <c r="D120" s="1" t="n">
        <v>45189</v>
      </c>
      <c r="E120" s="1" t="n">
        <v>46309</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27097-2026</t>
        </is>
      </c>
      <c r="B121" t="inlineStr">
        <is>
          <t>avverkningsanmälan</t>
        </is>
      </c>
      <c r="C121" t="inlineStr">
        <is>
          <t>Föryngringsavverkning</t>
        </is>
      </c>
      <c r="D121" s="1" t="n">
        <v>46188</v>
      </c>
      <c r="E121" s="1" t="n">
        <v>46309</v>
      </c>
      <c r="F121" t="inlineStr">
        <is>
          <t>SKÅNE LÄN</t>
        </is>
      </c>
      <c r="G121" t="inlineStr">
        <is>
          <t>ÄNGELHOLM</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57923-2024</t>
        </is>
      </c>
      <c r="B122" t="inlineStr">
        <is>
          <t>avverkningsanmälan</t>
        </is>
      </c>
      <c r="C122" t="inlineStr">
        <is>
          <t>Föryngringsavverkning</t>
        </is>
      </c>
      <c r="D122" s="1" t="n">
        <v>45631</v>
      </c>
      <c r="E122" s="1" t="n">
        <v>46309</v>
      </c>
      <c r="F122" t="inlineStr">
        <is>
          <t>SKÅNE LÄN</t>
        </is>
      </c>
      <c r="G122" t="inlineStr">
        <is>
          <t>ÄNGELHOLM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28264-2022</t>
        </is>
      </c>
      <c r="B123" t="inlineStr">
        <is>
          <t>avverkningsanmälan</t>
        </is>
      </c>
      <c r="C123" t="inlineStr">
        <is>
          <t>Föryngringsavverkning</t>
        </is>
      </c>
      <c r="D123" s="1" t="n">
        <v>44746</v>
      </c>
      <c r="E123" s="1" t="n">
        <v>46309</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55545-2022</t>
        </is>
      </c>
      <c r="B124" t="inlineStr">
        <is>
          <t>avverkningsanmälan</t>
        </is>
      </c>
      <c r="C124" t="inlineStr">
        <is>
          <t>Föryngringsavverkning</t>
        </is>
      </c>
      <c r="D124" s="1" t="n">
        <v>44887</v>
      </c>
      <c r="E124" s="1" t="n">
        <v>46309</v>
      </c>
      <c r="F124" t="inlineStr">
        <is>
          <t>SKÅNE LÄN</t>
        </is>
      </c>
      <c r="G124" t="inlineStr">
        <is>
          <t>ÄNGELHOLM</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34514-2023</t>
        </is>
      </c>
      <c r="B125" t="inlineStr">
        <is>
          <t>avverkningsanmälan</t>
        </is>
      </c>
      <c r="C125" t="inlineStr">
        <is>
          <t>Föryngringsavverkning</t>
        </is>
      </c>
      <c r="D125" s="1" t="n">
        <v>45140</v>
      </c>
      <c r="E125" s="1" t="n">
        <v>46309</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46309</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1299-2024</t>
        </is>
      </c>
      <c r="B127" t="inlineStr">
        <is>
          <t>avverkningsanmälan</t>
        </is>
      </c>
      <c r="C127" t="inlineStr">
        <is>
          <t>Föryngringsavverkning</t>
        </is>
      </c>
      <c r="D127" s="1" t="n">
        <v>45303</v>
      </c>
      <c r="E127" s="1" t="n">
        <v>46309</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42105-2022</t>
        </is>
      </c>
      <c r="B128" t="inlineStr">
        <is>
          <t>avverkningsanmälan</t>
        </is>
      </c>
      <c r="C128" t="inlineStr">
        <is>
          <t>Föryngringsavverkning</t>
        </is>
      </c>
      <c r="D128" s="1" t="n">
        <v>44830</v>
      </c>
      <c r="E128" s="1" t="n">
        <v>46309</v>
      </c>
      <c r="F128" t="inlineStr">
        <is>
          <t>SKÅNE LÄN</t>
        </is>
      </c>
      <c r="G128" t="inlineStr">
        <is>
          <t>ÄNGELHOLM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15154-2023</t>
        </is>
      </c>
      <c r="B129" t="inlineStr">
        <is>
          <t>avverkningsanmälan</t>
        </is>
      </c>
      <c r="C129" t="inlineStr">
        <is>
          <t>Föryngringsavverkning</t>
        </is>
      </c>
      <c r="D129" s="1" t="n">
        <v>45016</v>
      </c>
      <c r="E129" s="1" t="n">
        <v>46309</v>
      </c>
      <c r="F129" t="inlineStr">
        <is>
          <t>SKÅNE LÄN</t>
        </is>
      </c>
      <c r="G129" t="inlineStr">
        <is>
          <t>ÄNGELHOLM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7337-2024</t>
        </is>
      </c>
      <c r="B130" t="inlineStr">
        <is>
          <t>avverkningsanmälan</t>
        </is>
      </c>
      <c r="C130" t="inlineStr">
        <is>
          <t>Föryngringsavverkning</t>
        </is>
      </c>
      <c r="D130" s="1" t="n">
        <v>45345</v>
      </c>
      <c r="E130" s="1" t="n">
        <v>46309</v>
      </c>
      <c r="F130" t="inlineStr">
        <is>
          <t>SKÅNE LÄN</t>
        </is>
      </c>
      <c r="G130" t="inlineStr">
        <is>
          <t>ÄNGELHOLM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49610-2024</t>
        </is>
      </c>
      <c r="B131" t="inlineStr">
        <is>
          <t>avverkningsanmälan</t>
        </is>
      </c>
      <c r="C131" t="inlineStr">
        <is>
          <t>Föryngringsavverkning</t>
        </is>
      </c>
      <c r="D131" s="1" t="n">
        <v>45596</v>
      </c>
      <c r="E131" s="1" t="n">
        <v>46309</v>
      </c>
      <c r="F131" t="inlineStr">
        <is>
          <t>SKÅNE LÄN</t>
        </is>
      </c>
      <c r="G131" t="inlineStr">
        <is>
          <t>ÄNGELHOLM</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37628-2026</t>
        </is>
      </c>
      <c r="B132" t="inlineStr">
        <is>
          <t>avverkningsanmälan</t>
        </is>
      </c>
      <c r="C132" t="inlineStr">
        <is>
          <t>Föryngringsavverkning</t>
        </is>
      </c>
      <c r="D132" s="1" t="n">
        <v>46276</v>
      </c>
      <c r="E132" s="1" t="n">
        <v>46309</v>
      </c>
      <c r="F132" t="inlineStr">
        <is>
          <t>SKÅNE LÄN</t>
        </is>
      </c>
      <c r="G132" t="inlineStr">
        <is>
          <t>ÄNGELHOLM</t>
        </is>
      </c>
      <c r="H132" t="inlineStr">
        <is>
          <t>Kommuner</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14400-2023</t>
        </is>
      </c>
      <c r="B133" t="inlineStr">
        <is>
          <t>avverkningsanmälan</t>
        </is>
      </c>
      <c r="C133" t="inlineStr">
        <is>
          <t>Föryngringsavverkning</t>
        </is>
      </c>
      <c r="D133" s="1" t="n">
        <v>45012</v>
      </c>
      <c r="E133" s="1" t="n">
        <v>46309</v>
      </c>
      <c r="F133" t="inlineStr">
        <is>
          <t>SKÅNE LÄN</t>
        </is>
      </c>
      <c r="G133" t="inlineStr">
        <is>
          <t>ÄNGELHOLM</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4089-2024</t>
        </is>
      </c>
      <c r="B134" t="inlineStr">
        <is>
          <t>avverkningsanmälan</t>
        </is>
      </c>
      <c r="C134" t="inlineStr">
        <is>
          <t>Föryngringsavverkning</t>
        </is>
      </c>
      <c r="D134" s="1" t="n">
        <v>45323</v>
      </c>
      <c r="E134" s="1" t="n">
        <v>46309</v>
      </c>
      <c r="F134" t="inlineStr">
        <is>
          <t>SKÅNE LÄN</t>
        </is>
      </c>
      <c r="G134" t="inlineStr">
        <is>
          <t>ÄNGELHOLM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26978-2026</t>
        </is>
      </c>
      <c r="B135" t="inlineStr">
        <is>
          <t>avverkningsanmälan</t>
        </is>
      </c>
      <c r="C135" t="inlineStr">
        <is>
          <t>Föryngringsavverkning</t>
        </is>
      </c>
      <c r="D135" s="1" t="n">
        <v>46185</v>
      </c>
      <c r="E135" s="1" t="n">
        <v>46309</v>
      </c>
      <c r="F135" t="inlineStr">
        <is>
          <t>SKÅNE LÄN</t>
        </is>
      </c>
      <c r="G135" t="inlineStr">
        <is>
          <t>ÄNGELHOLM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26986-2026</t>
        </is>
      </c>
      <c r="B136" t="inlineStr">
        <is>
          <t>avverkningsanmälan</t>
        </is>
      </c>
      <c r="C136" t="inlineStr">
        <is>
          <t>Föryngringsavverkning</t>
        </is>
      </c>
      <c r="D136" s="1" t="n">
        <v>46185</v>
      </c>
      <c r="E136" s="1" t="n">
        <v>46309</v>
      </c>
      <c r="F136" t="inlineStr">
        <is>
          <t>SKÅNE LÄN</t>
        </is>
      </c>
      <c r="G136" t="inlineStr">
        <is>
          <t>ÄNGELHOLM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46309</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46309</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46309</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46309</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46309</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28496-2023</t>
        </is>
      </c>
      <c r="B142" t="inlineStr">
        <is>
          <t>avverkningsanmälan</t>
        </is>
      </c>
      <c r="C142" t="inlineStr">
        <is>
          <t>Föryngringsavverkning</t>
        </is>
      </c>
      <c r="D142" s="1" t="n">
        <v>45103</v>
      </c>
      <c r="E142" s="1" t="n">
        <v>46309</v>
      </c>
      <c r="F142" t="inlineStr">
        <is>
          <t>SKÅNE LÄN</t>
        </is>
      </c>
      <c r="G142" t="inlineStr">
        <is>
          <t>ÄNGELHOLM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46309</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46309</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46309</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46309</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46309</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39993-2026</t>
        </is>
      </c>
      <c r="B148" t="inlineStr">
        <is>
          <t>avverkningsanmälan</t>
        </is>
      </c>
      <c r="C148" t="inlineStr">
        <is>
          <t>Föryngringsavverkning</t>
        </is>
      </c>
      <c r="D148" s="1" t="n">
        <v>46293</v>
      </c>
      <c r="E148" s="1" t="n">
        <v>46309</v>
      </c>
      <c r="F148" t="inlineStr">
        <is>
          <t>SKÅNE LÄN</t>
        </is>
      </c>
      <c r="G148" t="inlineStr">
        <is>
          <t>ÄNGELHOLM</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46309</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40758-2026</t>
        </is>
      </c>
      <c r="B150" t="inlineStr">
        <is>
          <t>avverkningsanmälan</t>
        </is>
      </c>
      <c r="C150" t="inlineStr">
        <is>
          <t>Föryngringsavverkning</t>
        </is>
      </c>
      <c r="D150" s="1" t="n">
        <v>46296</v>
      </c>
      <c r="E150" s="1" t="n">
        <v>46309</v>
      </c>
      <c r="F150" t="inlineStr">
        <is>
          <t>SKÅNE LÄN</t>
        </is>
      </c>
      <c r="G150" t="inlineStr">
        <is>
          <t>ÄNGELHOLM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46613-2024</t>
        </is>
      </c>
      <c r="B151" t="inlineStr">
        <is>
          <t>avverkningsanmälan</t>
        </is>
      </c>
      <c r="C151" t="inlineStr">
        <is>
          <t>Föryngringsavverkning</t>
        </is>
      </c>
      <c r="D151" s="1" t="n">
        <v>45583</v>
      </c>
      <c r="E151" s="1" t="n">
        <v>46309</v>
      </c>
      <c r="F151" t="inlineStr">
        <is>
          <t>SKÅNE LÄN</t>
        </is>
      </c>
      <c r="G151" t="inlineStr">
        <is>
          <t>ÄNGELHOLM</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40806-2026</t>
        </is>
      </c>
      <c r="B152" t="inlineStr">
        <is>
          <t>avverkningsanmälan</t>
        </is>
      </c>
      <c r="C152" t="inlineStr">
        <is>
          <t>Föryngringsavverkning</t>
        </is>
      </c>
      <c r="D152" s="1" t="n">
        <v>46296</v>
      </c>
      <c r="E152" s="1" t="n">
        <v>46309</v>
      </c>
      <c r="F152" t="inlineStr">
        <is>
          <t>SKÅNE LÄN</t>
        </is>
      </c>
      <c r="G152" t="inlineStr">
        <is>
          <t>ÄNGELHOLM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40759-2026</t>
        </is>
      </c>
      <c r="B153" t="inlineStr">
        <is>
          <t>avverkningsanmälan</t>
        </is>
      </c>
      <c r="C153" t="inlineStr">
        <is>
          <t>Föryngringsavverkning</t>
        </is>
      </c>
      <c r="D153" s="1" t="n">
        <v>46296</v>
      </c>
      <c r="E153" s="1" t="n">
        <v>46309</v>
      </c>
      <c r="F153" t="inlineStr">
        <is>
          <t>SKÅNE LÄN</t>
        </is>
      </c>
      <c r="G153" t="inlineStr">
        <is>
          <t>ÄNGELHOLM</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19255-2026</t>
        </is>
      </c>
      <c r="B154" t="inlineStr">
        <is>
          <t>avverkningsanmälan</t>
        </is>
      </c>
      <c r="C154" t="inlineStr">
        <is>
          <t>Föryngringsavverkning</t>
        </is>
      </c>
      <c r="D154" s="1" t="n">
        <v>46132</v>
      </c>
      <c r="E154" s="1" t="n">
        <v>46309</v>
      </c>
      <c r="F154" t="inlineStr">
        <is>
          <t>SKÅNE LÄN</t>
        </is>
      </c>
      <c r="G154" t="inlineStr">
        <is>
          <t>ÄNGELHOLM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46309</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46309</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46309</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31576-2026</t>
        </is>
      </c>
      <c r="B158" t="inlineStr">
        <is>
          <t>avverkningsanmälan</t>
        </is>
      </c>
      <c r="C158" t="inlineStr">
        <is>
          <t>Föryngringsavverkning</t>
        </is>
      </c>
      <c r="D158" s="1" t="n">
        <v>46224</v>
      </c>
      <c r="E158" s="1" t="n">
        <v>46309</v>
      </c>
      <c r="F158" t="inlineStr">
        <is>
          <t>SKÅNE LÄN</t>
        </is>
      </c>
      <c r="G158" t="inlineStr">
        <is>
          <t>ÄNGELHOLM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35912-2026</t>
        </is>
      </c>
      <c r="B159" t="inlineStr">
        <is>
          <t>avverkningsanmälan</t>
        </is>
      </c>
      <c r="C159" t="inlineStr">
        <is>
          <t>Föryngringsavverkning</t>
        </is>
      </c>
      <c r="D159" s="1" t="n">
        <v>46266</v>
      </c>
      <c r="E159" s="1" t="n">
        <v>46309</v>
      </c>
      <c r="F159" t="inlineStr">
        <is>
          <t>SKÅNE LÄN</t>
        </is>
      </c>
      <c r="G159" t="inlineStr">
        <is>
          <t>ÄNGELHOLM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36001-2026</t>
        </is>
      </c>
      <c r="B160" t="inlineStr">
        <is>
          <t>avverkningsanmälan</t>
        </is>
      </c>
      <c r="C160" t="inlineStr">
        <is>
          <t>Föryngringsavverkning</t>
        </is>
      </c>
      <c r="D160" s="1" t="n">
        <v>46266</v>
      </c>
      <c r="E160" s="1" t="n">
        <v>46309</v>
      </c>
      <c r="F160" t="inlineStr">
        <is>
          <t>SKÅNE LÄN</t>
        </is>
      </c>
      <c r="G160" t="inlineStr">
        <is>
          <t>ÄNGELHOLM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41517-2026</t>
        </is>
      </c>
      <c r="B161" t="inlineStr">
        <is>
          <t>avverkningsanmälan</t>
        </is>
      </c>
      <c r="C161" t="inlineStr">
        <is>
          <t>Föryngringsavverkning</t>
        </is>
      </c>
      <c r="D161" s="1" t="n">
        <v>46301</v>
      </c>
      <c r="E161" s="1" t="n">
        <v>46309</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35677-2026</t>
        </is>
      </c>
      <c r="B162" t="inlineStr">
        <is>
          <t>avverkningsanmälan</t>
        </is>
      </c>
      <c r="C162" t="inlineStr">
        <is>
          <t>Föryngringsavverkning</t>
        </is>
      </c>
      <c r="D162" s="1" t="n">
        <v>46265</v>
      </c>
      <c r="E162" s="1" t="n">
        <v>46309</v>
      </c>
      <c r="F162" t="inlineStr">
        <is>
          <t>SKÅNE LÄN</t>
        </is>
      </c>
      <c r="G162" t="inlineStr">
        <is>
          <t>ÄNGELHOLM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46309</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46309</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46309</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46309</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46309</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46309</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46309</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46309</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46309</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2026-10-14T02:01:04Z</dcterms:created>
  <dcterms:modified xmlns:dcterms="http://purl.org/dc/terms/" xmlns:xsi="http://www.w3.org/2001/XMLSchema-instance" xsi:type="dcterms:W3CDTF">2026-10-14T02:01:04Z</dcterms:modified>
</cp:coreProperties>
</file>