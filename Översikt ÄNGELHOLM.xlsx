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46090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46090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46090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46090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46090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46090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46090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46090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46090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46090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46090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46090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8133-2026</t>
        </is>
      </c>
      <c r="B17" s="1" t="n">
        <v>46064.30774305556</v>
      </c>
      <c r="C17" s="1" t="n">
        <v>46090</v>
      </c>
      <c r="D17" t="inlineStr">
        <is>
          <t>SKÅNE LÄN</t>
        </is>
      </c>
      <c r="E17" t="inlineStr">
        <is>
          <t>ÄNGELHOLM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HYPERLINK("https://klasma.github.io/Logging_1292/artfynd/A 8133-2026 artfynd.xlsx", "A 8133-2026")</f>
        <v/>
      </c>
      <c r="T17">
        <f>HYPERLINK("https://klasma.github.io/Logging_1292/kartor/A 8133-2026 karta.png", "A 8133-2026")</f>
        <v/>
      </c>
      <c r="V17">
        <f>HYPERLINK("https://klasma.github.io/Logging_1292/klagomål/A 8133-2026 FSC-klagomål.docx", "A 8133-2026")</f>
        <v/>
      </c>
      <c r="W17">
        <f>HYPERLINK("https://klasma.github.io/Logging_1292/klagomålsmail/A 8133-2026 FSC-klagomål mail.docx", "A 8133-2026")</f>
        <v/>
      </c>
      <c r="X17">
        <f>HYPERLINK("https://klasma.github.io/Logging_1292/tillsyn/A 8133-2026 tillsynsbegäran.docx", "A 8133-2026")</f>
        <v/>
      </c>
      <c r="Y17">
        <f>HYPERLINK("https://klasma.github.io/Logging_1292/tillsynsmail/A 8133-2026 tillsynsbegäran mail.docx", "A 8133-2026")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46090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46090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46090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46090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46090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46090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46090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46090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46090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46090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46090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46090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46090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46090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46090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46090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46090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46090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46090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46090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46090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46090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46090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46090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46090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46090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46090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46090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46090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46090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5046-2022</t>
        </is>
      </c>
      <c r="B51" s="1" t="n">
        <v>44593.68116898148</v>
      </c>
      <c r="C51" s="1" t="n">
        <v>46090</v>
      </c>
      <c r="D51" t="inlineStr">
        <is>
          <t>SKÅNE LÄN</t>
        </is>
      </c>
      <c r="E51" t="inlineStr">
        <is>
          <t>ÄNGELHOLM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46090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46090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46090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55545-2022</t>
        </is>
      </c>
      <c r="B55" s="1" t="n">
        <v>44887</v>
      </c>
      <c r="C55" s="1" t="n">
        <v>46090</v>
      </c>
      <c r="D55" t="inlineStr">
        <is>
          <t>SKÅNE LÄN</t>
        </is>
      </c>
      <c r="E55" t="inlineStr">
        <is>
          <t>ÄNGELHOLM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7856-2026</t>
        </is>
      </c>
      <c r="B56" s="1" t="n">
        <v>46062.67539351852</v>
      </c>
      <c r="C56" s="1" t="n">
        <v>46090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7859-2026</t>
        </is>
      </c>
      <c r="B57" s="1" t="n">
        <v>46062.68539351852</v>
      </c>
      <c r="C57" s="1" t="n">
        <v>46090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46090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46090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46090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64728-2023</t>
        </is>
      </c>
      <c r="B61" s="1" t="n">
        <v>45281</v>
      </c>
      <c r="C61" s="1" t="n">
        <v>46090</v>
      </c>
      <c r="D61" t="inlineStr">
        <is>
          <t>SKÅNE LÄN</t>
        </is>
      </c>
      <c r="E61" t="inlineStr">
        <is>
          <t>ÄNGELHOLM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46090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23676-2024</t>
        </is>
      </c>
      <c r="B63" s="1" t="n">
        <v>45454.61513888889</v>
      </c>
      <c r="C63" s="1" t="n">
        <v>46090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46090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46090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46090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46090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8139-2025</t>
        </is>
      </c>
      <c r="B68" s="1" t="n">
        <v>45708.2620949074</v>
      </c>
      <c r="C68" s="1" t="n">
        <v>46090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44448-2023</t>
        </is>
      </c>
      <c r="B69" s="1" t="n">
        <v>45189</v>
      </c>
      <c r="C69" s="1" t="n">
        <v>46090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32020-2025</t>
        </is>
      </c>
      <c r="B70" s="1" t="n">
        <v>45835.4065625</v>
      </c>
      <c r="C70" s="1" t="n">
        <v>46090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31143-2024</t>
        </is>
      </c>
      <c r="B71" s="1" t="n">
        <v>45502</v>
      </c>
      <c r="C71" s="1" t="n">
        <v>46090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9055-2026</t>
        </is>
      </c>
      <c r="B72" s="1" t="n">
        <v>46069.55903935185</v>
      </c>
      <c r="C72" s="1" t="n">
        <v>46090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44720.50751157408</v>
      </c>
      <c r="C73" s="1" t="n">
        <v>46090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46090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46090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15154-2023</t>
        </is>
      </c>
      <c r="B76" s="1" t="n">
        <v>45016</v>
      </c>
      <c r="C76" s="1" t="n">
        <v>46090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46286-2024</t>
        </is>
      </c>
      <c r="B77" s="1" t="n">
        <v>45581</v>
      </c>
      <c r="C77" s="1" t="n">
        <v>46090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46090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55544-2022</t>
        </is>
      </c>
      <c r="B79" s="1" t="n">
        <v>44887</v>
      </c>
      <c r="C79" s="1" t="n">
        <v>46090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13662-2025</t>
        </is>
      </c>
      <c r="B80" s="1" t="n">
        <v>45736.77020833334</v>
      </c>
      <c r="C80" s="1" t="n">
        <v>46090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7337-2024</t>
        </is>
      </c>
      <c r="B81" s="1" t="n">
        <v>45345</v>
      </c>
      <c r="C81" s="1" t="n">
        <v>46090</v>
      </c>
      <c r="D81" t="inlineStr">
        <is>
          <t>SKÅNE LÄN</t>
        </is>
      </c>
      <c r="E81" t="inlineStr">
        <is>
          <t>ÄNGELHOLM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49610-2024</t>
        </is>
      </c>
      <c r="B82" s="1" t="n">
        <v>45596</v>
      </c>
      <c r="C82" s="1" t="n">
        <v>46090</v>
      </c>
      <c r="D82" t="inlineStr">
        <is>
          <t>SKÅNE LÄN</t>
        </is>
      </c>
      <c r="E82" t="inlineStr">
        <is>
          <t>ÄNGELHOLM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13235-2025</t>
        </is>
      </c>
      <c r="B83" s="1" t="n">
        <v>45735</v>
      </c>
      <c r="C83" s="1" t="n">
        <v>46090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13243-2025</t>
        </is>
      </c>
      <c r="B84" s="1" t="n">
        <v>45735</v>
      </c>
      <c r="C84" s="1" t="n">
        <v>46090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49885-2022</t>
        </is>
      </c>
      <c r="B85" s="1" t="n">
        <v>44864</v>
      </c>
      <c r="C85" s="1" t="n">
        <v>46090</v>
      </c>
      <c r="D85" t="inlineStr">
        <is>
          <t>SKÅNE LÄN</t>
        </is>
      </c>
      <c r="E85" t="inlineStr">
        <is>
          <t>ÄNGELHOLM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4088-2024</t>
        </is>
      </c>
      <c r="B86" s="1" t="n">
        <v>45323</v>
      </c>
      <c r="C86" s="1" t="n">
        <v>46090</v>
      </c>
      <c r="D86" t="inlineStr">
        <is>
          <t>SKÅNE LÄN</t>
        </is>
      </c>
      <c r="E86" t="inlineStr">
        <is>
          <t>ÄNGELHOLM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7811-2023</t>
        </is>
      </c>
      <c r="B87" s="1" t="n">
        <v>44973</v>
      </c>
      <c r="C87" s="1" t="n">
        <v>46090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58137-2022</t>
        </is>
      </c>
      <c r="B88" s="1" t="n">
        <v>44900.69418981481</v>
      </c>
      <c r="C88" s="1" t="n">
        <v>46090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46090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42105-2022</t>
        </is>
      </c>
      <c r="B90" s="1" t="n">
        <v>44830.55204861111</v>
      </c>
      <c r="C90" s="1" t="n">
        <v>46090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38028-2025</t>
        </is>
      </c>
      <c r="B91" s="1" t="n">
        <v>45882.3615625</v>
      </c>
      <c r="C91" s="1" t="n">
        <v>46090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50652-2023</t>
        </is>
      </c>
      <c r="B92" s="1" t="n">
        <v>45210</v>
      </c>
      <c r="C92" s="1" t="n">
        <v>46090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24855-2024</t>
        </is>
      </c>
      <c r="B93" s="1" t="n">
        <v>45461.46796296296</v>
      </c>
      <c r="C93" s="1" t="n">
        <v>46090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38856-2025</t>
        </is>
      </c>
      <c r="B94" s="1" t="n">
        <v>45887</v>
      </c>
      <c r="C94" s="1" t="n">
        <v>46090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46090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55728-2025</t>
        </is>
      </c>
      <c r="B96" s="1" t="n">
        <v>45972</v>
      </c>
      <c r="C96" s="1" t="n">
        <v>46090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55707-2025</t>
        </is>
      </c>
      <c r="B97" s="1" t="n">
        <v>45972</v>
      </c>
      <c r="C97" s="1" t="n">
        <v>46090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4755-2024</t>
        </is>
      </c>
      <c r="B98" s="1" t="n">
        <v>45328.66599537037</v>
      </c>
      <c r="C98" s="1" t="n">
        <v>46090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14400-2023</t>
        </is>
      </c>
      <c r="B99" s="1" t="n">
        <v>45012</v>
      </c>
      <c r="C99" s="1" t="n">
        <v>46090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46090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9803-2026</t>
        </is>
      </c>
      <c r="B101" s="1" t="n">
        <v>46072</v>
      </c>
      <c r="C101" s="1" t="n">
        <v>46090</v>
      </c>
      <c r="D101" t="inlineStr">
        <is>
          <t>SKÅNE LÄN</t>
        </is>
      </c>
      <c r="E101" t="inlineStr">
        <is>
          <t>ÄNGELHOLM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23227-2023</t>
        </is>
      </c>
      <c r="B102" s="1" t="n">
        <v>45075</v>
      </c>
      <c r="C102" s="1" t="n">
        <v>46090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46090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9578-2025</t>
        </is>
      </c>
      <c r="B104" s="1" t="n">
        <v>45715.62634259259</v>
      </c>
      <c r="C104" s="1" t="n">
        <v>46090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2505-2026</t>
        </is>
      </c>
      <c r="B105" s="1" t="n">
        <v>46037.41112268518</v>
      </c>
      <c r="C105" s="1" t="n">
        <v>46090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46090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60227-2025</t>
        </is>
      </c>
      <c r="B107" s="1" t="n">
        <v>45994</v>
      </c>
      <c r="C107" s="1" t="n">
        <v>46090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12150-2024</t>
        </is>
      </c>
      <c r="B108" s="1" t="n">
        <v>45377</v>
      </c>
      <c r="C108" s="1" t="n">
        <v>46090</v>
      </c>
      <c r="D108" t="inlineStr">
        <is>
          <t>SKÅNE LÄN</t>
        </is>
      </c>
      <c r="E108" t="inlineStr">
        <is>
          <t>ÄNGELHOLM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46090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46090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46090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27551-2023</t>
        </is>
      </c>
      <c r="B112" s="1" t="n">
        <v>45097</v>
      </c>
      <c r="C112" s="1" t="n">
        <v>46090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4977-2026</t>
        </is>
      </c>
      <c r="B113" s="1" t="n">
        <v>46047</v>
      </c>
      <c r="C113" s="1" t="n">
        <v>46090</v>
      </c>
      <c r="D113" t="inlineStr">
        <is>
          <t>SKÅNE LÄN</t>
        </is>
      </c>
      <c r="E113" t="inlineStr">
        <is>
          <t>ÄNGELHOLM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46090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11384-2026</t>
        </is>
      </c>
      <c r="B115" s="1" t="n">
        <v>46083.41881944444</v>
      </c>
      <c r="C115" s="1" t="n">
        <v>46090</v>
      </c>
      <c r="D115" t="inlineStr">
        <is>
          <t>SKÅNE LÄN</t>
        </is>
      </c>
      <c r="E115" t="inlineStr">
        <is>
          <t>ÄNGELHOLM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4089-2024</t>
        </is>
      </c>
      <c r="B116" s="1" t="n">
        <v>45323</v>
      </c>
      <c r="C116" s="1" t="n">
        <v>46090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46090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1299-2024</t>
        </is>
      </c>
      <c r="B118" s="1" t="n">
        <v>45303</v>
      </c>
      <c r="C118" s="1" t="n">
        <v>46090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32364-2023</t>
        </is>
      </c>
      <c r="B119" s="1" t="n">
        <v>45120.56152777778</v>
      </c>
      <c r="C119" s="1" t="n">
        <v>46090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58134-2022</t>
        </is>
      </c>
      <c r="B120" s="1" t="n">
        <v>44900.69137731481</v>
      </c>
      <c r="C120" s="1" t="n">
        <v>46090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31503-2023</t>
        </is>
      </c>
      <c r="B121" s="1" t="n">
        <v>45115</v>
      </c>
      <c r="C121" s="1" t="n">
        <v>46090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39014-2023</t>
        </is>
      </c>
      <c r="B122" s="1" t="n">
        <v>45163</v>
      </c>
      <c r="C122" s="1" t="n">
        <v>46090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31908-2023</t>
        </is>
      </c>
      <c r="B123" s="1" t="n">
        <v>45118</v>
      </c>
      <c r="C123" s="1" t="n">
        <v>46090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31502-2023</t>
        </is>
      </c>
      <c r="B124" s="1" t="n">
        <v>45115</v>
      </c>
      <c r="C124" s="1" t="n">
        <v>46090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28253-2023</t>
        </is>
      </c>
      <c r="B125" s="1" t="n">
        <v>45099</v>
      </c>
      <c r="C125" s="1" t="n">
        <v>46090</v>
      </c>
      <c r="D125" t="inlineStr">
        <is>
          <t>SKÅNE LÄN</t>
        </is>
      </c>
      <c r="E125" t="inlineStr">
        <is>
          <t>ÄNGELHOLM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21488-2023</t>
        </is>
      </c>
      <c r="B126" s="1" t="n">
        <v>45061</v>
      </c>
      <c r="C126" s="1" t="n">
        <v>46090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7994-2023</t>
        </is>
      </c>
      <c r="B127" s="1" t="n">
        <v>44973.77732638889</v>
      </c>
      <c r="C127" s="1" t="n">
        <v>46090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61094-2021</t>
        </is>
      </c>
      <c r="B128" s="1" t="n">
        <v>44498</v>
      </c>
      <c r="C128" s="1" t="n">
        <v>46090</v>
      </c>
      <c r="D128" t="inlineStr">
        <is>
          <t>SKÅNE LÄN</t>
        </is>
      </c>
      <c r="E128" t="inlineStr">
        <is>
          <t>ÄNGELHOLM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46090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53501-2022</t>
        </is>
      </c>
      <c r="B130" s="1" t="n">
        <v>44879</v>
      </c>
      <c r="C130" s="1" t="n">
        <v>46090</v>
      </c>
      <c r="D130" t="inlineStr">
        <is>
          <t>SKÅNE LÄN</t>
        </is>
      </c>
      <c r="E130" t="inlineStr">
        <is>
          <t>ÄNGELHOLM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54709-2023</t>
        </is>
      </c>
      <c r="B131" s="1" t="n">
        <v>45236.34621527778</v>
      </c>
      <c r="C131" s="1" t="n">
        <v>46090</v>
      </c>
      <c r="D131" t="inlineStr">
        <is>
          <t>SKÅNE LÄN</t>
        </is>
      </c>
      <c r="E131" t="inlineStr">
        <is>
          <t>ÄNGELHOLM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12148-2024</t>
        </is>
      </c>
      <c r="B132" s="1" t="n">
        <v>45377</v>
      </c>
      <c r="C132" s="1" t="n">
        <v>46090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19500-2022</t>
        </is>
      </c>
      <c r="B133" s="1" t="n">
        <v>44693.50188657407</v>
      </c>
      <c r="C133" s="1" t="n">
        <v>46090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4605-2025</t>
        </is>
      </c>
      <c r="B134" s="1" t="n">
        <v>45687.56328703704</v>
      </c>
      <c r="C134" s="1" t="n">
        <v>46090</v>
      </c>
      <c r="D134" t="inlineStr">
        <is>
          <t>SKÅNE LÄN</t>
        </is>
      </c>
      <c r="E134" t="inlineStr">
        <is>
          <t>ÄNGELHOLM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45117.89738425926</v>
      </c>
      <c r="C135" s="1" t="n">
        <v>46090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16314-2024</t>
        </is>
      </c>
      <c r="B136" s="1" t="n">
        <v>45407</v>
      </c>
      <c r="C136" s="1" t="n">
        <v>46090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46090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46090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46613-2024</t>
        </is>
      </c>
      <c r="B139" s="1" t="n">
        <v>45583</v>
      </c>
      <c r="C139" s="1" t="n">
        <v>46090</v>
      </c>
      <c r="D139" t="inlineStr">
        <is>
          <t>SKÅNE LÄN</t>
        </is>
      </c>
      <c r="E139" t="inlineStr">
        <is>
          <t>ÄNGELHOLM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23976-2024</t>
        </is>
      </c>
      <c r="B140" s="1" t="n">
        <v>45456.30621527778</v>
      </c>
      <c r="C140" s="1" t="n">
        <v>46090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40278-2023</t>
        </is>
      </c>
      <c r="B141" s="1" t="n">
        <v>45169</v>
      </c>
      <c r="C141" s="1" t="n">
        <v>46090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7871-2025</t>
        </is>
      </c>
      <c r="B142" s="1" t="n">
        <v>45706</v>
      </c>
      <c r="C142" s="1" t="n">
        <v>46090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46090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29436-2024</t>
        </is>
      </c>
      <c r="B144" s="1" t="n">
        <v>45483.78387731482</v>
      </c>
      <c r="C144" s="1" t="n">
        <v>46090</v>
      </c>
      <c r="D144" t="inlineStr">
        <is>
          <t>SKÅNE LÄN</t>
        </is>
      </c>
      <c r="E144" t="inlineStr">
        <is>
          <t>ÄNGELHOLM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58150-2024</t>
        </is>
      </c>
      <c r="B145" s="1" t="n">
        <v>45632.43736111111</v>
      </c>
      <c r="C145" s="1" t="n">
        <v>46090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28264-2022</t>
        </is>
      </c>
      <c r="B146" s="1" t="n">
        <v>44746</v>
      </c>
      <c r="C146" s="1" t="n">
        <v>46090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46090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46090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46090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46090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46090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46090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46090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308-2023</t>
        </is>
      </c>
      <c r="B154" s="1" t="n">
        <v>44929</v>
      </c>
      <c r="C154" s="1" t="n">
        <v>46090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46090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20635-2024</t>
        </is>
      </c>
      <c r="B156" s="1" t="n">
        <v>45436</v>
      </c>
      <c r="C156" s="1" t="n">
        <v>46090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23980-2024</t>
        </is>
      </c>
      <c r="B157" s="1" t="n">
        <v>45456</v>
      </c>
      <c r="C157" s="1" t="n">
        <v>46090</v>
      </c>
      <c r="D157" t="inlineStr">
        <is>
          <t>SKÅNE LÄN</t>
        </is>
      </c>
      <c r="E157" t="inlineStr">
        <is>
          <t>ÄNGELHOLM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55748-2024</t>
        </is>
      </c>
      <c r="B158" s="1" t="n">
        <v>45623.3237962963</v>
      </c>
      <c r="C158" s="1" t="n">
        <v>46090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48197-2024</t>
        </is>
      </c>
      <c r="B159" s="1" t="n">
        <v>45590</v>
      </c>
      <c r="C159" s="1" t="n">
        <v>46090</v>
      </c>
      <c r="D159" t="inlineStr">
        <is>
          <t>SKÅNE LÄN</t>
        </is>
      </c>
      <c r="E159" t="inlineStr">
        <is>
          <t>ÄNGELHOLM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2026-03-09T11:15:40Z</dcterms:created>
  <dcterms:modified xmlns:dcterms="http://purl.org/dc/terms/" xmlns:xsi="http://www.w3.org/2001/XMLSchema-instance" xsi:type="dcterms:W3CDTF">2026-03-09T11:15:40Z</dcterms:modified>
</cp:coreProperties>
</file>