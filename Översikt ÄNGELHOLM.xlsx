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45904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45904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45904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18559-2025</t>
        </is>
      </c>
      <c r="B5" s="1" t="n">
        <v>45763</v>
      </c>
      <c r="C5" s="1" t="n">
        <v>45904</v>
      </c>
      <c r="D5" t="inlineStr">
        <is>
          <t>SKÅNE LÄN</t>
        </is>
      </c>
      <c r="E5" t="inlineStr">
        <is>
          <t>ÄNGELHOLM</t>
        </is>
      </c>
      <c r="G5" t="n">
        <v>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Gulsparv
Gröngöling</t>
        </is>
      </c>
      <c r="S5">
        <f>HYPERLINK("https://klasma.github.io/Logging_1292/artfynd/A 18559-2025 artfynd.xlsx", "A 18559-2025")</f>
        <v/>
      </c>
      <c r="T5">
        <f>HYPERLINK("https://klasma.github.io/Logging_1292/kartor/A 18559-2025 karta.png", "A 18559-2025")</f>
        <v/>
      </c>
      <c r="V5">
        <f>HYPERLINK("https://klasma.github.io/Logging_1292/klagomål/A 18559-2025 FSC-klagomål.docx", "A 18559-2025")</f>
        <v/>
      </c>
      <c r="W5">
        <f>HYPERLINK("https://klasma.github.io/Logging_1292/klagomålsmail/A 18559-2025 FSC-klagomål mail.docx", "A 18559-2025")</f>
        <v/>
      </c>
      <c r="X5">
        <f>HYPERLINK("https://klasma.github.io/Logging_1292/tillsyn/A 18559-2025 tillsynsbegäran.docx", "A 18559-2025")</f>
        <v/>
      </c>
      <c r="Y5">
        <f>HYPERLINK("https://klasma.github.io/Logging_1292/tillsynsmail/A 18559-2025 tillsynsbegäran mail.docx", "A 18559-2025")</f>
        <v/>
      </c>
      <c r="Z5">
        <f>HYPERLINK("https://klasma.github.io/Logging_1292/fåglar/A 18559-2025 prioriterade fågelarter.docx", "A 18559-2025")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45904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45904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45904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45904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45904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45904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45904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45904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45904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45904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45904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45904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38763-2025</t>
        </is>
      </c>
      <c r="B18" s="1" t="n">
        <v>45887</v>
      </c>
      <c r="C18" s="1" t="n">
        <v>45904</v>
      </c>
      <c r="D18" t="inlineStr">
        <is>
          <t>SKÅNE LÄN</t>
        </is>
      </c>
      <c r="E18" t="inlineStr">
        <is>
          <t>ÄNGELHOLM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HYPERLINK("https://klasma.github.io/Logging_1292/artfynd/A 38763-2025 artfynd.xlsx", "A 38763-2025")</f>
        <v/>
      </c>
      <c r="T18">
        <f>HYPERLINK("https://klasma.github.io/Logging_1292/kartor/A 38763-2025 karta.png", "A 38763-2025")</f>
        <v/>
      </c>
      <c r="V18">
        <f>HYPERLINK("https://klasma.github.io/Logging_1292/klagomål/A 38763-2025 FSC-klagomål.docx", "A 38763-2025")</f>
        <v/>
      </c>
      <c r="W18">
        <f>HYPERLINK("https://klasma.github.io/Logging_1292/klagomålsmail/A 38763-2025 FSC-klagomål mail.docx", "A 38763-2025")</f>
        <v/>
      </c>
      <c r="X18">
        <f>HYPERLINK("https://klasma.github.io/Logging_1292/tillsyn/A 38763-2025 tillsynsbegäran.docx", "A 38763-2025")</f>
        <v/>
      </c>
      <c r="Y18">
        <f>HYPERLINK("https://klasma.github.io/Logging_1292/tillsynsmail/A 38763-2025 tillsynsbegäran mail.docx", "A 38763-2025")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45904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45904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45904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1620-2021</t>
        </is>
      </c>
      <c r="B22" s="1" t="n">
        <v>44209</v>
      </c>
      <c r="C22" s="1" t="n">
        <v>45904</v>
      </c>
      <c r="D22" t="inlineStr">
        <is>
          <t>SKÅNE LÄN</t>
        </is>
      </c>
      <c r="E22" t="inlineStr">
        <is>
          <t>ÄNGELHOLM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45904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45904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45904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45904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47566-2020</t>
        </is>
      </c>
      <c r="B27" s="1" t="n">
        <v>44098</v>
      </c>
      <c r="C27" s="1" t="n">
        <v>45904</v>
      </c>
      <c r="D27" t="inlineStr">
        <is>
          <t>SKÅNE LÄN</t>
        </is>
      </c>
      <c r="E27" t="inlineStr">
        <is>
          <t>ÄNGELHOLM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4933-2021</t>
        </is>
      </c>
      <c r="B28" s="1" t="n">
        <v>44227</v>
      </c>
      <c r="C28" s="1" t="n">
        <v>45904</v>
      </c>
      <c r="D28" t="inlineStr">
        <is>
          <t>SKÅNE LÄN</t>
        </is>
      </c>
      <c r="E28" t="inlineStr">
        <is>
          <t>ÄNGELHOLM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45904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45904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45904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45904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45904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45904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45904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43656-2020</t>
        </is>
      </c>
      <c r="B36" s="1" t="n">
        <v>44078</v>
      </c>
      <c r="C36" s="1" t="n">
        <v>45904</v>
      </c>
      <c r="D36" t="inlineStr">
        <is>
          <t>SKÅNE LÄN</t>
        </is>
      </c>
      <c r="E36" t="inlineStr">
        <is>
          <t>ÄNGELHOLM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13876-2021</t>
        </is>
      </c>
      <c r="B37" s="1" t="n">
        <v>44277.40048611111</v>
      </c>
      <c r="C37" s="1" t="n">
        <v>45904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56569-2021</t>
        </is>
      </c>
      <c r="B38" s="1" t="n">
        <v>44480</v>
      </c>
      <c r="C38" s="1" t="n">
        <v>45904</v>
      </c>
      <c r="D38" t="inlineStr">
        <is>
          <t>SKÅNE LÄN</t>
        </is>
      </c>
      <c r="E38" t="inlineStr">
        <is>
          <t>ÄNGELHOLM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43645-2020</t>
        </is>
      </c>
      <c r="B39" s="1" t="n">
        <v>44078</v>
      </c>
      <c r="C39" s="1" t="n">
        <v>45904</v>
      </c>
      <c r="D39" t="inlineStr">
        <is>
          <t>SKÅNE LÄN</t>
        </is>
      </c>
      <c r="E39" t="inlineStr">
        <is>
          <t>ÄNGELHOLM</t>
        </is>
      </c>
      <c r="G39" t="n">
        <v>12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13873-2021</t>
        </is>
      </c>
      <c r="B40" s="1" t="n">
        <v>44277.39847222222</v>
      </c>
      <c r="C40" s="1" t="n">
        <v>45904</v>
      </c>
      <c r="D40" t="inlineStr">
        <is>
          <t>SKÅNE LÄN</t>
        </is>
      </c>
      <c r="E40" t="inlineStr">
        <is>
          <t>ÄNGELHOLM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45904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41725-2022</t>
        </is>
      </c>
      <c r="B42" s="1" t="n">
        <v>44827</v>
      </c>
      <c r="C42" s="1" t="n">
        <v>45904</v>
      </c>
      <c r="D42" t="inlineStr">
        <is>
          <t>SKÅNE LÄN</t>
        </is>
      </c>
      <c r="E42" t="inlineStr">
        <is>
          <t>ÄNGELHOLM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24691-2021</t>
        </is>
      </c>
      <c r="B43" s="1" t="n">
        <v>44340</v>
      </c>
      <c r="C43" s="1" t="n">
        <v>45904</v>
      </c>
      <c r="D43" t="inlineStr">
        <is>
          <t>SKÅNE LÄN</t>
        </is>
      </c>
      <c r="E43" t="inlineStr">
        <is>
          <t>ÄNGELHOLM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36036-2022</t>
        </is>
      </c>
      <c r="B44" s="1" t="n">
        <v>44802</v>
      </c>
      <c r="C44" s="1" t="n">
        <v>45904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36041-2022</t>
        </is>
      </c>
      <c r="B45" s="1" t="n">
        <v>44802.69045138889</v>
      </c>
      <c r="C45" s="1" t="n">
        <v>45904</v>
      </c>
      <c r="D45" t="inlineStr">
        <is>
          <t>SKÅNE LÄN</t>
        </is>
      </c>
      <c r="E45" t="inlineStr">
        <is>
          <t>ÄNGELHOLM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74214-2021</t>
        </is>
      </c>
      <c r="B46" s="1" t="n">
        <v>44553</v>
      </c>
      <c r="C46" s="1" t="n">
        <v>45904</v>
      </c>
      <c r="D46" t="inlineStr">
        <is>
          <t>SKÅNE LÄN</t>
        </is>
      </c>
      <c r="E46" t="inlineStr">
        <is>
          <t>ÄNGELHOLM</t>
        </is>
      </c>
      <c r="G46" t="n">
        <v>19.8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57923-2024</t>
        </is>
      </c>
      <c r="B47" s="1" t="n">
        <v>45631</v>
      </c>
      <c r="C47" s="1" t="n">
        <v>45904</v>
      </c>
      <c r="D47" t="inlineStr">
        <is>
          <t>SKÅNE LÄN</t>
        </is>
      </c>
      <c r="E47" t="inlineStr">
        <is>
          <t>ÄNGELHOLM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45904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308-2023</t>
        </is>
      </c>
      <c r="B49" s="1" t="n">
        <v>44929</v>
      </c>
      <c r="C49" s="1" t="n">
        <v>45904</v>
      </c>
      <c r="D49" t="inlineStr">
        <is>
          <t>SKÅNE LÄN</t>
        </is>
      </c>
      <c r="E49" t="inlineStr">
        <is>
          <t>ÄNGELHOLM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6574-2021</t>
        </is>
      </c>
      <c r="B50" s="1" t="n">
        <v>44236</v>
      </c>
      <c r="C50" s="1" t="n">
        <v>45904</v>
      </c>
      <c r="D50" t="inlineStr">
        <is>
          <t>SKÅNE LÄN</t>
        </is>
      </c>
      <c r="E50" t="inlineStr">
        <is>
          <t>ÄNGELHOLM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44062-2022</t>
        </is>
      </c>
      <c r="B51" s="1" t="n">
        <v>44839</v>
      </c>
      <c r="C51" s="1" t="n">
        <v>45904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20623-2025</t>
        </is>
      </c>
      <c r="B52" s="1" t="n">
        <v>45776.32377314815</v>
      </c>
      <c r="C52" s="1" t="n">
        <v>45904</v>
      </c>
      <c r="D52" t="inlineStr">
        <is>
          <t>SKÅNE LÄN</t>
        </is>
      </c>
      <c r="E52" t="inlineStr">
        <is>
          <t>ÄNGELHOLM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40275-2023</t>
        </is>
      </c>
      <c r="B53" s="1" t="n">
        <v>45169</v>
      </c>
      <c r="C53" s="1" t="n">
        <v>45904</v>
      </c>
      <c r="D53" t="inlineStr">
        <is>
          <t>SKÅNE LÄN</t>
        </is>
      </c>
      <c r="E53" t="inlineStr">
        <is>
          <t>ÄNGELHOLM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20635-2024</t>
        </is>
      </c>
      <c r="B54" s="1" t="n">
        <v>45436</v>
      </c>
      <c r="C54" s="1" t="n">
        <v>45904</v>
      </c>
      <c r="D54" t="inlineStr">
        <is>
          <t>SKÅNE LÄN</t>
        </is>
      </c>
      <c r="E54" t="inlineStr">
        <is>
          <t>ÄNGELHOLM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4089-2024</t>
        </is>
      </c>
      <c r="B55" s="1" t="n">
        <v>45323</v>
      </c>
      <c r="C55" s="1" t="n">
        <v>45904</v>
      </c>
      <c r="D55" t="inlineStr">
        <is>
          <t>SKÅNE LÄN</t>
        </is>
      </c>
      <c r="E55" t="inlineStr">
        <is>
          <t>ÄNGELHOLM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10454-2025</t>
        </is>
      </c>
      <c r="B56" s="1" t="n">
        <v>45720.7090625</v>
      </c>
      <c r="C56" s="1" t="n">
        <v>45904</v>
      </c>
      <c r="D56" t="inlineStr">
        <is>
          <t>SKÅNE LÄN</t>
        </is>
      </c>
      <c r="E56" t="inlineStr">
        <is>
          <t>ÄNGELHOLM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23980-2024</t>
        </is>
      </c>
      <c r="B57" s="1" t="n">
        <v>45456</v>
      </c>
      <c r="C57" s="1" t="n">
        <v>45904</v>
      </c>
      <c r="D57" t="inlineStr">
        <is>
          <t>SKÅNE LÄN</t>
        </is>
      </c>
      <c r="E57" t="inlineStr">
        <is>
          <t>ÄNGELHOLM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55748-2024</t>
        </is>
      </c>
      <c r="B58" s="1" t="n">
        <v>45623.3237962963</v>
      </c>
      <c r="C58" s="1" t="n">
        <v>45904</v>
      </c>
      <c r="D58" t="inlineStr">
        <is>
          <t>SKÅNE LÄN</t>
        </is>
      </c>
      <c r="E58" t="inlineStr">
        <is>
          <t>ÄNGELHOLM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28496-2023</t>
        </is>
      </c>
      <c r="B59" s="1" t="n">
        <v>45103.45262731481</v>
      </c>
      <c r="C59" s="1" t="n">
        <v>45904</v>
      </c>
      <c r="D59" t="inlineStr">
        <is>
          <t>SKÅNE LÄN</t>
        </is>
      </c>
      <c r="E59" t="inlineStr">
        <is>
          <t>ÄNGELHOLM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1299-2024</t>
        </is>
      </c>
      <c r="B60" s="1" t="n">
        <v>45303</v>
      </c>
      <c r="C60" s="1" t="n">
        <v>45904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6667-2025</t>
        </is>
      </c>
      <c r="B61" s="1" t="n">
        <v>45700.46334490741</v>
      </c>
      <c r="C61" s="1" t="n">
        <v>45904</v>
      </c>
      <c r="D61" t="inlineStr">
        <is>
          <t>SKÅNE LÄN</t>
        </is>
      </c>
      <c r="E61" t="inlineStr">
        <is>
          <t>ÄNGELHOLM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48197-2024</t>
        </is>
      </c>
      <c r="B62" s="1" t="n">
        <v>45590</v>
      </c>
      <c r="C62" s="1" t="n">
        <v>45904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32364-2023</t>
        </is>
      </c>
      <c r="B63" s="1" t="n">
        <v>45120.56152777778</v>
      </c>
      <c r="C63" s="1" t="n">
        <v>45904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58134-2022</t>
        </is>
      </c>
      <c r="B64" s="1" t="n">
        <v>44900.69137731481</v>
      </c>
      <c r="C64" s="1" t="n">
        <v>45904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27544-2024</t>
        </is>
      </c>
      <c r="B65" s="1" t="n">
        <v>45474</v>
      </c>
      <c r="C65" s="1" t="n">
        <v>45904</v>
      </c>
      <c r="D65" t="inlineStr">
        <is>
          <t>SKÅNE LÄN</t>
        </is>
      </c>
      <c r="E65" t="inlineStr">
        <is>
          <t>ÄNGELHOLM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46702-2024</t>
        </is>
      </c>
      <c r="B66" s="1" t="n">
        <v>45583</v>
      </c>
      <c r="C66" s="1" t="n">
        <v>45904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5046-2022</t>
        </is>
      </c>
      <c r="B67" s="1" t="n">
        <v>44593.68116898148</v>
      </c>
      <c r="C67" s="1" t="n">
        <v>45904</v>
      </c>
      <c r="D67" t="inlineStr">
        <is>
          <t>SKÅNE LÄN</t>
        </is>
      </c>
      <c r="E67" t="inlineStr">
        <is>
          <t>ÄNGELHOLM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31789-2023</t>
        </is>
      </c>
      <c r="B68" s="1" t="n">
        <v>45118</v>
      </c>
      <c r="C68" s="1" t="n">
        <v>45904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1644-2025</t>
        </is>
      </c>
      <c r="B69" s="1" t="n">
        <v>45670</v>
      </c>
      <c r="C69" s="1" t="n">
        <v>45904</v>
      </c>
      <c r="D69" t="inlineStr">
        <is>
          <t>SKÅNE LÄN</t>
        </is>
      </c>
      <c r="E69" t="inlineStr">
        <is>
          <t>ÄNGELHOLM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31503-2023</t>
        </is>
      </c>
      <c r="B70" s="1" t="n">
        <v>45115</v>
      </c>
      <c r="C70" s="1" t="n">
        <v>45904</v>
      </c>
      <c r="D70" t="inlineStr">
        <is>
          <t>SKÅNE LÄN</t>
        </is>
      </c>
      <c r="E70" t="inlineStr">
        <is>
          <t>ÄNGELHOLM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39014-2023</t>
        </is>
      </c>
      <c r="B71" s="1" t="n">
        <v>45163</v>
      </c>
      <c r="C71" s="1" t="n">
        <v>45904</v>
      </c>
      <c r="D71" t="inlineStr">
        <is>
          <t>SKÅNE LÄN</t>
        </is>
      </c>
      <c r="E71" t="inlineStr">
        <is>
          <t>ÄNGELHOLM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55545-2022</t>
        </is>
      </c>
      <c r="B72" s="1" t="n">
        <v>44887</v>
      </c>
      <c r="C72" s="1" t="n">
        <v>45904</v>
      </c>
      <c r="D72" t="inlineStr">
        <is>
          <t>SKÅNE LÄN</t>
        </is>
      </c>
      <c r="E72" t="inlineStr">
        <is>
          <t>ÄNGELHOLM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31908-2023</t>
        </is>
      </c>
      <c r="B73" s="1" t="n">
        <v>45118</v>
      </c>
      <c r="C73" s="1" t="n">
        <v>45904</v>
      </c>
      <c r="D73" t="inlineStr">
        <is>
          <t>SKÅNE LÄN</t>
        </is>
      </c>
      <c r="E73" t="inlineStr">
        <is>
          <t>ÄNGELHOLM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31502-2023</t>
        </is>
      </c>
      <c r="B74" s="1" t="n">
        <v>45115</v>
      </c>
      <c r="C74" s="1" t="n">
        <v>45904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57819-2024</t>
        </is>
      </c>
      <c r="B75" s="1" t="n">
        <v>45631.38149305555</v>
      </c>
      <c r="C75" s="1" t="n">
        <v>45904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28253-2023</t>
        </is>
      </c>
      <c r="B76" s="1" t="n">
        <v>45099</v>
      </c>
      <c r="C76" s="1" t="n">
        <v>45904</v>
      </c>
      <c r="D76" t="inlineStr">
        <is>
          <t>SKÅNE LÄN</t>
        </is>
      </c>
      <c r="E76" t="inlineStr">
        <is>
          <t>ÄNGELHOLM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21488-2023</t>
        </is>
      </c>
      <c r="B77" s="1" t="n">
        <v>45061</v>
      </c>
      <c r="C77" s="1" t="n">
        <v>45904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7994-2023</t>
        </is>
      </c>
      <c r="B78" s="1" t="n">
        <v>44973.77732638889</v>
      </c>
      <c r="C78" s="1" t="n">
        <v>45904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61094-2021</t>
        </is>
      </c>
      <c r="B79" s="1" t="n">
        <v>44498</v>
      </c>
      <c r="C79" s="1" t="n">
        <v>45904</v>
      </c>
      <c r="D79" t="inlineStr">
        <is>
          <t>SKÅNE LÄN</t>
        </is>
      </c>
      <c r="E79" t="inlineStr">
        <is>
          <t>ÄNGELHOLM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64728-2023</t>
        </is>
      </c>
      <c r="B80" s="1" t="n">
        <v>45281</v>
      </c>
      <c r="C80" s="1" t="n">
        <v>45904</v>
      </c>
      <c r="D80" t="inlineStr">
        <is>
          <t>SKÅNE LÄN</t>
        </is>
      </c>
      <c r="E80" t="inlineStr">
        <is>
          <t>ÄNGELHOLM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25669-2024</t>
        </is>
      </c>
      <c r="B81" s="1" t="n">
        <v>45463.71800925926</v>
      </c>
      <c r="C81" s="1" t="n">
        <v>45904</v>
      </c>
      <c r="D81" t="inlineStr">
        <is>
          <t>SKÅNE LÄN</t>
        </is>
      </c>
      <c r="E81" t="inlineStr">
        <is>
          <t>ÄNGELHOLM</t>
        </is>
      </c>
      <c r="G81" t="n">
        <v>17.9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46487-2024</t>
        </is>
      </c>
      <c r="B82" s="1" t="n">
        <v>45582</v>
      </c>
      <c r="C82" s="1" t="n">
        <v>45904</v>
      </c>
      <c r="D82" t="inlineStr">
        <is>
          <t>SKÅNE LÄN</t>
        </is>
      </c>
      <c r="E82" t="inlineStr">
        <is>
          <t>ÄNGELHOLM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23676-2024</t>
        </is>
      </c>
      <c r="B83" s="1" t="n">
        <v>45454.61513888889</v>
      </c>
      <c r="C83" s="1" t="n">
        <v>45904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27553-2023</t>
        </is>
      </c>
      <c r="B84" s="1" t="n">
        <v>45097</v>
      </c>
      <c r="C84" s="1" t="n">
        <v>45904</v>
      </c>
      <c r="D84" t="inlineStr">
        <is>
          <t>SKÅNE LÄN</t>
        </is>
      </c>
      <c r="E84" t="inlineStr">
        <is>
          <t>ÄNGELHOLM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55529-2024</t>
        </is>
      </c>
      <c r="B85" s="1" t="n">
        <v>45622.48444444445</v>
      </c>
      <c r="C85" s="1" t="n">
        <v>45904</v>
      </c>
      <c r="D85" t="inlineStr">
        <is>
          <t>SKÅNE LÄN</t>
        </is>
      </c>
      <c r="E85" t="inlineStr">
        <is>
          <t>ÄNGELHOLM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8139-2025</t>
        </is>
      </c>
      <c r="B86" s="1" t="n">
        <v>45708.2620949074</v>
      </c>
      <c r="C86" s="1" t="n">
        <v>45904</v>
      </c>
      <c r="D86" t="inlineStr">
        <is>
          <t>SKÅNE LÄN</t>
        </is>
      </c>
      <c r="E86" t="inlineStr">
        <is>
          <t>ÄNGELHOLM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32020-2025</t>
        </is>
      </c>
      <c r="B87" s="1" t="n">
        <v>45835.4065625</v>
      </c>
      <c r="C87" s="1" t="n">
        <v>45904</v>
      </c>
      <c r="D87" t="inlineStr">
        <is>
          <t>SKÅNE LÄN</t>
        </is>
      </c>
      <c r="E87" t="inlineStr">
        <is>
          <t>ÄNGELHOLM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44448-2023</t>
        </is>
      </c>
      <c r="B88" s="1" t="n">
        <v>45189</v>
      </c>
      <c r="C88" s="1" t="n">
        <v>45904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53501-2022</t>
        </is>
      </c>
      <c r="B89" s="1" t="n">
        <v>44879</v>
      </c>
      <c r="C89" s="1" t="n">
        <v>45904</v>
      </c>
      <c r="D89" t="inlineStr">
        <is>
          <t>SKÅNE LÄN</t>
        </is>
      </c>
      <c r="E89" t="inlineStr">
        <is>
          <t>ÄNGELHOLM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31143-2024</t>
        </is>
      </c>
      <c r="B90" s="1" t="n">
        <v>45502</v>
      </c>
      <c r="C90" s="1" t="n">
        <v>45904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23328-2022</t>
        </is>
      </c>
      <c r="B91" s="1" t="n">
        <v>44720.50751157408</v>
      </c>
      <c r="C91" s="1" t="n">
        <v>45904</v>
      </c>
      <c r="D91" t="inlineStr">
        <is>
          <t>SKÅNE LÄN</t>
        </is>
      </c>
      <c r="E91" t="inlineStr">
        <is>
          <t>ÄNGELHOLM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38028-2025</t>
        </is>
      </c>
      <c r="B92" s="1" t="n">
        <v>45882.3615625</v>
      </c>
      <c r="C92" s="1" t="n">
        <v>45904</v>
      </c>
      <c r="D92" t="inlineStr">
        <is>
          <t>SKÅNE LÄN</t>
        </is>
      </c>
      <c r="E92" t="inlineStr">
        <is>
          <t>ÄNGELHOLM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15154-2023</t>
        </is>
      </c>
      <c r="B93" s="1" t="n">
        <v>45016</v>
      </c>
      <c r="C93" s="1" t="n">
        <v>45904</v>
      </c>
      <c r="D93" t="inlineStr">
        <is>
          <t>SKÅNE LÄN</t>
        </is>
      </c>
      <c r="E93" t="inlineStr">
        <is>
          <t>ÄNGELHOLM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46286-2024</t>
        </is>
      </c>
      <c r="B94" s="1" t="n">
        <v>45581</v>
      </c>
      <c r="C94" s="1" t="n">
        <v>45904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45904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38848-2025</t>
        </is>
      </c>
      <c r="B96" s="1" t="n">
        <v>45887</v>
      </c>
      <c r="C96" s="1" t="n">
        <v>45904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38856-2025</t>
        </is>
      </c>
      <c r="B97" s="1" t="n">
        <v>45887</v>
      </c>
      <c r="C97" s="1" t="n">
        <v>45904</v>
      </c>
      <c r="D97" t="inlineStr">
        <is>
          <t>SKÅNE LÄN</t>
        </is>
      </c>
      <c r="E97" t="inlineStr">
        <is>
          <t>ÄNGELHOLM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54709-2023</t>
        </is>
      </c>
      <c r="B98" s="1" t="n">
        <v>45236.34621527778</v>
      </c>
      <c r="C98" s="1" t="n">
        <v>45904</v>
      </c>
      <c r="D98" t="inlineStr">
        <is>
          <t>SKÅNE LÄN</t>
        </is>
      </c>
      <c r="E98" t="inlineStr">
        <is>
          <t>ÄNGELHOLM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13662-2025</t>
        </is>
      </c>
      <c r="B99" s="1" t="n">
        <v>45736.77020833334</v>
      </c>
      <c r="C99" s="1" t="n">
        <v>45904</v>
      </c>
      <c r="D99" t="inlineStr">
        <is>
          <t>SKÅNE LÄN</t>
        </is>
      </c>
      <c r="E99" t="inlineStr">
        <is>
          <t>ÄNGELHOLM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12148-2024</t>
        </is>
      </c>
      <c r="B100" s="1" t="n">
        <v>45377</v>
      </c>
      <c r="C100" s="1" t="n">
        <v>45904</v>
      </c>
      <c r="D100" t="inlineStr">
        <is>
          <t>SKÅNE LÄN</t>
        </is>
      </c>
      <c r="E100" t="inlineStr">
        <is>
          <t>ÄNGELHOLM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19500-2022</t>
        </is>
      </c>
      <c r="B101" s="1" t="n">
        <v>44693.50188657407</v>
      </c>
      <c r="C101" s="1" t="n">
        <v>45904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4605-2025</t>
        </is>
      </c>
      <c r="B102" s="1" t="n">
        <v>45687.56328703704</v>
      </c>
      <c r="C102" s="1" t="n">
        <v>45904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40287-2025</t>
        </is>
      </c>
      <c r="B103" s="1" t="n">
        <v>45895</v>
      </c>
      <c r="C103" s="1" t="n">
        <v>45904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39810-2025</t>
        </is>
      </c>
      <c r="B104" s="1" t="n">
        <v>45891.5194675926</v>
      </c>
      <c r="C104" s="1" t="n">
        <v>45904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31720-2023</t>
        </is>
      </c>
      <c r="B105" s="1" t="n">
        <v>45117.89738425926</v>
      </c>
      <c r="C105" s="1" t="n">
        <v>45904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7337-2024</t>
        </is>
      </c>
      <c r="B106" s="1" t="n">
        <v>45345</v>
      </c>
      <c r="C106" s="1" t="n">
        <v>45904</v>
      </c>
      <c r="D106" t="inlineStr">
        <is>
          <t>SKÅNE LÄN</t>
        </is>
      </c>
      <c r="E106" t="inlineStr">
        <is>
          <t>ÄNGELHOLM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68428-2020</t>
        </is>
      </c>
      <c r="B107" s="1" t="n">
        <v>44183</v>
      </c>
      <c r="C107" s="1" t="n">
        <v>45904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49610-2024</t>
        </is>
      </c>
      <c r="B108" s="1" t="n">
        <v>45596</v>
      </c>
      <c r="C108" s="1" t="n">
        <v>45904</v>
      </c>
      <c r="D108" t="inlineStr">
        <is>
          <t>SKÅNE LÄN</t>
        </is>
      </c>
      <c r="E108" t="inlineStr">
        <is>
          <t>ÄNGELHOLM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13235-2025</t>
        </is>
      </c>
      <c r="B109" s="1" t="n">
        <v>45735</v>
      </c>
      <c r="C109" s="1" t="n">
        <v>45904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13243-2025</t>
        </is>
      </c>
      <c r="B110" s="1" t="n">
        <v>45735</v>
      </c>
      <c r="C110" s="1" t="n">
        <v>45904</v>
      </c>
      <c r="D110" t="inlineStr">
        <is>
          <t>SKÅNE LÄN</t>
        </is>
      </c>
      <c r="E110" t="inlineStr">
        <is>
          <t>ÄNGELHOLM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49885-2022</t>
        </is>
      </c>
      <c r="B111" s="1" t="n">
        <v>44864</v>
      </c>
      <c r="C111" s="1" t="n">
        <v>45904</v>
      </c>
      <c r="D111" t="inlineStr">
        <is>
          <t>SKÅNE LÄN</t>
        </is>
      </c>
      <c r="E111" t="inlineStr">
        <is>
          <t>ÄNGELHOLM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16314-2024</t>
        </is>
      </c>
      <c r="B112" s="1" t="n">
        <v>45407</v>
      </c>
      <c r="C112" s="1" t="n">
        <v>45904</v>
      </c>
      <c r="D112" t="inlineStr">
        <is>
          <t>SKÅNE LÄN</t>
        </is>
      </c>
      <c r="E112" t="inlineStr">
        <is>
          <t>ÄNGELHOLM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41166-2025</t>
        </is>
      </c>
      <c r="B113" s="1" t="n">
        <v>45898</v>
      </c>
      <c r="C113" s="1" t="n">
        <v>45904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31907-2023</t>
        </is>
      </c>
      <c r="B114" s="1" t="n">
        <v>45118</v>
      </c>
      <c r="C114" s="1" t="n">
        <v>45904</v>
      </c>
      <c r="D114" t="inlineStr">
        <is>
          <t>SKÅNE LÄN</t>
        </is>
      </c>
      <c r="E114" t="inlineStr">
        <is>
          <t>ÄNGELHOLM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34514-2023</t>
        </is>
      </c>
      <c r="B115" s="1" t="n">
        <v>45140.38099537037</v>
      </c>
      <c r="C115" s="1" t="n">
        <v>45904</v>
      </c>
      <c r="D115" t="inlineStr">
        <is>
          <t>SKÅNE LÄN</t>
        </is>
      </c>
      <c r="E115" t="inlineStr">
        <is>
          <t>ÄNGELHOLM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4088-2024</t>
        </is>
      </c>
      <c r="B116" s="1" t="n">
        <v>45323</v>
      </c>
      <c r="C116" s="1" t="n">
        <v>45904</v>
      </c>
      <c r="D116" t="inlineStr">
        <is>
          <t>SKÅNE LÄN</t>
        </is>
      </c>
      <c r="E116" t="inlineStr">
        <is>
          <t>ÄNGELHOLM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7811-2023</t>
        </is>
      </c>
      <c r="B117" s="1" t="n">
        <v>44973</v>
      </c>
      <c r="C117" s="1" t="n">
        <v>45904</v>
      </c>
      <c r="D117" t="inlineStr">
        <is>
          <t>SKÅNE LÄN</t>
        </is>
      </c>
      <c r="E117" t="inlineStr">
        <is>
          <t>ÄNGELHOLM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58137-2022</t>
        </is>
      </c>
      <c r="B118" s="1" t="n">
        <v>44900.69418981481</v>
      </c>
      <c r="C118" s="1" t="n">
        <v>45904</v>
      </c>
      <c r="D118" t="inlineStr">
        <is>
          <t>SKÅNE LÄN</t>
        </is>
      </c>
      <c r="E118" t="inlineStr">
        <is>
          <t>ÄNGELHOLM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42105-2022</t>
        </is>
      </c>
      <c r="B119" s="1" t="n">
        <v>44830.55204861111</v>
      </c>
      <c r="C119" s="1" t="n">
        <v>45904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46613-2024</t>
        </is>
      </c>
      <c r="B120" s="1" t="n">
        <v>45583</v>
      </c>
      <c r="C120" s="1" t="n">
        <v>45904</v>
      </c>
      <c r="D120" t="inlineStr">
        <is>
          <t>SKÅNE LÄN</t>
        </is>
      </c>
      <c r="E120" t="inlineStr">
        <is>
          <t>ÄNGELHOLM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50652-2023</t>
        </is>
      </c>
      <c r="B121" s="1" t="n">
        <v>45210</v>
      </c>
      <c r="C121" s="1" t="n">
        <v>45904</v>
      </c>
      <c r="D121" t="inlineStr">
        <is>
          <t>SKÅNE LÄN</t>
        </is>
      </c>
      <c r="E121" t="inlineStr">
        <is>
          <t>ÄNGELHOLM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24855-2024</t>
        </is>
      </c>
      <c r="B122" s="1" t="n">
        <v>45461.46796296296</v>
      </c>
      <c r="C122" s="1" t="n">
        <v>45904</v>
      </c>
      <c r="D122" t="inlineStr">
        <is>
          <t>SKÅNE LÄN</t>
        </is>
      </c>
      <c r="E122" t="inlineStr">
        <is>
          <t>ÄNGELHOLM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23976-2024</t>
        </is>
      </c>
      <c r="B123" s="1" t="n">
        <v>45456.30621527778</v>
      </c>
      <c r="C123" s="1" t="n">
        <v>45904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40278-2023</t>
        </is>
      </c>
      <c r="B124" s="1" t="n">
        <v>45169</v>
      </c>
      <c r="C124" s="1" t="n">
        <v>45904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25129-2024</t>
        </is>
      </c>
      <c r="B125" s="1" t="n">
        <v>45462.46355324074</v>
      </c>
      <c r="C125" s="1" t="n">
        <v>45904</v>
      </c>
      <c r="D125" t="inlineStr">
        <is>
          <t>SKÅNE LÄN</t>
        </is>
      </c>
      <c r="E125" t="inlineStr">
        <is>
          <t>ÄNGELHOLM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4755-2024</t>
        </is>
      </c>
      <c r="B126" s="1" t="n">
        <v>45328.66599537037</v>
      </c>
      <c r="C126" s="1" t="n">
        <v>45904</v>
      </c>
      <c r="D126" t="inlineStr">
        <is>
          <t>SKÅNE LÄN</t>
        </is>
      </c>
      <c r="E126" t="inlineStr">
        <is>
          <t>ÄNGELHOLM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14400-2023</t>
        </is>
      </c>
      <c r="B127" s="1" t="n">
        <v>45012</v>
      </c>
      <c r="C127" s="1" t="n">
        <v>45904</v>
      </c>
      <c r="D127" t="inlineStr">
        <is>
          <t>SKÅNE LÄN</t>
        </is>
      </c>
      <c r="E127" t="inlineStr">
        <is>
          <t>ÄNGELHOLM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7707-2025</t>
        </is>
      </c>
      <c r="B128" s="1" t="n">
        <v>45705</v>
      </c>
      <c r="C128" s="1" t="n">
        <v>45904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7871-2025</t>
        </is>
      </c>
      <c r="B129" s="1" t="n">
        <v>45706</v>
      </c>
      <c r="C129" s="1" t="n">
        <v>45904</v>
      </c>
      <c r="D129" t="inlineStr">
        <is>
          <t>SKÅNE LÄN</t>
        </is>
      </c>
      <c r="E129" t="inlineStr">
        <is>
          <t>ÄNGELHOLM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32430-2023</t>
        </is>
      </c>
      <c r="B130" s="1" t="n">
        <v>45120</v>
      </c>
      <c r="C130" s="1" t="n">
        <v>45904</v>
      </c>
      <c r="D130" t="inlineStr">
        <is>
          <t>SKÅNE LÄN</t>
        </is>
      </c>
      <c r="E130" t="inlineStr">
        <is>
          <t>ÄNGELHOLM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23227-2023</t>
        </is>
      </c>
      <c r="B131" s="1" t="n">
        <v>45075</v>
      </c>
      <c r="C131" s="1" t="n">
        <v>45904</v>
      </c>
      <c r="D131" t="inlineStr">
        <is>
          <t>SKÅNE LÄN</t>
        </is>
      </c>
      <c r="E131" t="inlineStr">
        <is>
          <t>ÄNGELHOLM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29436-2024</t>
        </is>
      </c>
      <c r="B132" s="1" t="n">
        <v>45483.78387731482</v>
      </c>
      <c r="C132" s="1" t="n">
        <v>45904</v>
      </c>
      <c r="D132" t="inlineStr">
        <is>
          <t>SKÅNE LÄN</t>
        </is>
      </c>
      <c r="E132" t="inlineStr">
        <is>
          <t>ÄNGELHOLM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9578-2025</t>
        </is>
      </c>
      <c r="B133" s="1" t="n">
        <v>45715.62634259259</v>
      </c>
      <c r="C133" s="1" t="n">
        <v>45904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8882-2025</t>
        </is>
      </c>
      <c r="B134" s="1" t="n">
        <v>45713</v>
      </c>
      <c r="C134" s="1" t="n">
        <v>45904</v>
      </c>
      <c r="D134" t="inlineStr">
        <is>
          <t>SKÅNE LÄN</t>
        </is>
      </c>
      <c r="E134" t="inlineStr">
        <is>
          <t>ÄNGELHOLM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58150-2024</t>
        </is>
      </c>
      <c r="B135" s="1" t="n">
        <v>45632.43736111111</v>
      </c>
      <c r="C135" s="1" t="n">
        <v>45904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28264-2022</t>
        </is>
      </c>
      <c r="B136" s="1" t="n">
        <v>44746</v>
      </c>
      <c r="C136" s="1" t="n">
        <v>45904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10833-2021</t>
        </is>
      </c>
      <c r="B137" s="1" t="n">
        <v>44259</v>
      </c>
      <c r="C137" s="1" t="n">
        <v>45904</v>
      </c>
      <c r="D137" t="inlineStr">
        <is>
          <t>SKÅNE LÄN</t>
        </is>
      </c>
      <c r="E137" t="inlineStr">
        <is>
          <t>ÄNGELHOLM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31709-2023</t>
        </is>
      </c>
      <c r="B138" s="1" t="n">
        <v>45117</v>
      </c>
      <c r="C138" s="1" t="n">
        <v>45904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8665-2022</t>
        </is>
      </c>
      <c r="B139" s="1" t="n">
        <v>44613</v>
      </c>
      <c r="C139" s="1" t="n">
        <v>45904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60-2024</t>
        </is>
      </c>
      <c r="B140" s="1" t="n">
        <v>45293</v>
      </c>
      <c r="C140" s="1" t="n">
        <v>45904</v>
      </c>
      <c r="D140" t="inlineStr">
        <is>
          <t>SKÅNE LÄN</t>
        </is>
      </c>
      <c r="E140" t="inlineStr">
        <is>
          <t>ÄNGELHOLM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607-2024</t>
        </is>
      </c>
      <c r="B141" s="1" t="n">
        <v>45299</v>
      </c>
      <c r="C141" s="1" t="n">
        <v>45904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12150-2024</t>
        </is>
      </c>
      <c r="B142" s="1" t="n">
        <v>45377</v>
      </c>
      <c r="C142" s="1" t="n">
        <v>45904</v>
      </c>
      <c r="D142" t="inlineStr">
        <is>
          <t>SKÅNE LÄN</t>
        </is>
      </c>
      <c r="E142" t="inlineStr">
        <is>
          <t>ÄNGELHOLM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49206-2024</t>
        </is>
      </c>
      <c r="B143" s="1" t="n">
        <v>45595.36711805555</v>
      </c>
      <c r="C143" s="1" t="n">
        <v>45904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19503-2022</t>
        </is>
      </c>
      <c r="B144" s="1" t="n">
        <v>44693</v>
      </c>
      <c r="C144" s="1" t="n">
        <v>45904</v>
      </c>
      <c r="D144" t="inlineStr">
        <is>
          <t>SKÅNE LÄN</t>
        </is>
      </c>
      <c r="E144" t="inlineStr">
        <is>
          <t>ÄNGELHOLM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3565-2025</t>
        </is>
      </c>
      <c r="B145" s="1" t="n">
        <v>45680.68038194445</v>
      </c>
      <c r="C145" s="1" t="n">
        <v>45904</v>
      </c>
      <c r="D145" t="inlineStr">
        <is>
          <t>SKÅNE LÄN</t>
        </is>
      </c>
      <c r="E145" t="inlineStr">
        <is>
          <t>ÄNGELHOLM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18571-2025</t>
        </is>
      </c>
      <c r="B146" s="1" t="n">
        <v>45763</v>
      </c>
      <c r="C146" s="1" t="n">
        <v>45904</v>
      </c>
      <c r="D146" t="inlineStr">
        <is>
          <t>SKÅNE LÄN</t>
        </is>
      </c>
      <c r="E146" t="inlineStr">
        <is>
          <t>ÄNGELHOLM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16419-2023</t>
        </is>
      </c>
      <c r="B147" s="1" t="n">
        <v>45022</v>
      </c>
      <c r="C147" s="1" t="n">
        <v>45904</v>
      </c>
      <c r="D147" t="inlineStr">
        <is>
          <t>SKÅNE LÄN</t>
        </is>
      </c>
      <c r="E147" t="inlineStr">
        <is>
          <t>ÄNGELHOLM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27551-2023</t>
        </is>
      </c>
      <c r="B148" s="1" t="n">
        <v>45097</v>
      </c>
      <c r="C148" s="1" t="n">
        <v>45904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2575-2024</t>
        </is>
      </c>
      <c r="B149" s="1" t="n">
        <v>45313.63804398148</v>
      </c>
      <c r="C149" s="1" t="n">
        <v>45904</v>
      </c>
      <c r="D149" t="inlineStr">
        <is>
          <t>SKÅNE LÄN</t>
        </is>
      </c>
      <c r="E149" t="inlineStr">
        <is>
          <t>ÄNGELHOLM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2025-09-04T17:40:34Z</dcterms:created>
  <dcterms:modified xmlns:dcterms="http://purl.org/dc/terms/" xmlns:xsi="http://www.w3.org/2001/XMLSchema-instance" xsi:type="dcterms:W3CDTF">2025-09-04T17:40:34Z</dcterms:modified>
</cp:coreProperties>
</file>