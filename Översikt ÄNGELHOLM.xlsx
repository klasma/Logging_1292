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46042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46042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46042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46042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46042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46042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46042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46042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46042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46042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46042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46042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46042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46042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2931-2026</t>
        </is>
      </c>
      <c r="B16" s="1" t="n">
        <v>46038.58359953704</v>
      </c>
      <c r="C16" s="1" t="n">
        <v>46042</v>
      </c>
      <c r="D16" t="inlineStr">
        <is>
          <t>SKÅNE LÄN</t>
        </is>
      </c>
      <c r="E16" t="inlineStr">
        <is>
          <t>ÄNGELHOLM</t>
        </is>
      </c>
      <c r="G16" t="n">
        <v>3.5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2931-2026 artfynd.xlsx", "A 2931-2026")</f>
        <v/>
      </c>
      <c r="T16">
        <f>HYPERLINK("https://klasma.github.io/Logging_1292/kartor/A 2931-2026 karta.png", "A 2931-2026")</f>
        <v/>
      </c>
      <c r="V16">
        <f>HYPERLINK("https://klasma.github.io/Logging_1292/klagomål/A 2931-2026 FSC-klagomål.docx", "A 2931-2026")</f>
        <v/>
      </c>
      <c r="W16">
        <f>HYPERLINK("https://klasma.github.io/Logging_1292/klagomålsmail/A 2931-2026 FSC-klagomål mail.docx", "A 2931-2026")</f>
        <v/>
      </c>
      <c r="X16">
        <f>HYPERLINK("https://klasma.github.io/Logging_1292/tillsyn/A 2931-2026 tillsynsbegäran.docx", "A 2931-2026")</f>
        <v/>
      </c>
      <c r="Y16">
        <f>HYPERLINK("https://klasma.github.io/Logging_1292/tillsynsmail/A 2931-2026 tillsynsbegäran mail.docx", "A 2931-2026")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46042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46042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46042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46042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46042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46042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46042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46042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46042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46042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46042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46042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46042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46042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46042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46042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46042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46042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46042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46042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46042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46042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46042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46042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46042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46042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46042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46042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6574-2021</t>
        </is>
      </c>
      <c r="B45" s="1" t="n">
        <v>44236</v>
      </c>
      <c r="C45" s="1" t="n">
        <v>46042</v>
      </c>
      <c r="D45" t="inlineStr">
        <is>
          <t>SKÅNE LÄN</t>
        </is>
      </c>
      <c r="E45" t="inlineStr">
        <is>
          <t>ÄNGELHOLM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46042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46042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46042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46042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5046-2022</t>
        </is>
      </c>
      <c r="B50" s="1" t="n">
        <v>44593.68116898148</v>
      </c>
      <c r="C50" s="1" t="n">
        <v>46042</v>
      </c>
      <c r="D50" t="inlineStr">
        <is>
          <t>SKÅNE LÄN</t>
        </is>
      </c>
      <c r="E50" t="inlineStr">
        <is>
          <t>ÄNGELHOLM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31789-2023</t>
        </is>
      </c>
      <c r="B51" s="1" t="n">
        <v>45118</v>
      </c>
      <c r="C51" s="1" t="n">
        <v>46042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1644-2025</t>
        </is>
      </c>
      <c r="B52" s="1" t="n">
        <v>45670</v>
      </c>
      <c r="C52" s="1" t="n">
        <v>46042</v>
      </c>
      <c r="D52" t="inlineStr">
        <is>
          <t>SKÅNE LÄN</t>
        </is>
      </c>
      <c r="E52" t="inlineStr">
        <is>
          <t>ÄNGELHOLM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38848-2025</t>
        </is>
      </c>
      <c r="B53" s="1" t="n">
        <v>45887</v>
      </c>
      <c r="C53" s="1" t="n">
        <v>46042</v>
      </c>
      <c r="D53" t="inlineStr">
        <is>
          <t>SKÅNE LÄN</t>
        </is>
      </c>
      <c r="E53" t="inlineStr">
        <is>
          <t>ÄNGELHOLM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55545-2022</t>
        </is>
      </c>
      <c r="B54" s="1" t="n">
        <v>44887</v>
      </c>
      <c r="C54" s="1" t="n">
        <v>46042</v>
      </c>
      <c r="D54" t="inlineStr">
        <is>
          <t>SKÅNE LÄN</t>
        </is>
      </c>
      <c r="E54" t="inlineStr">
        <is>
          <t>ÄNGELHOLM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39810-2025</t>
        </is>
      </c>
      <c r="B55" s="1" t="n">
        <v>45891.5194675926</v>
      </c>
      <c r="C55" s="1" t="n">
        <v>46042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46042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41166-2025</t>
        </is>
      </c>
      <c r="B57" s="1" t="n">
        <v>45898</v>
      </c>
      <c r="C57" s="1" t="n">
        <v>46042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64728-2023</t>
        </is>
      </c>
      <c r="B58" s="1" t="n">
        <v>45281</v>
      </c>
      <c r="C58" s="1" t="n">
        <v>46042</v>
      </c>
      <c r="D58" t="inlineStr">
        <is>
          <t>SKÅNE LÄN</t>
        </is>
      </c>
      <c r="E58" t="inlineStr">
        <is>
          <t>ÄNGELHOLM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25669-2024</t>
        </is>
      </c>
      <c r="B59" s="1" t="n">
        <v>45463.71800925926</v>
      </c>
      <c r="C59" s="1" t="n">
        <v>46042</v>
      </c>
      <c r="D59" t="inlineStr">
        <is>
          <t>SKÅNE LÄN</t>
        </is>
      </c>
      <c r="E59" t="inlineStr">
        <is>
          <t>ÄNGELHOLM</t>
        </is>
      </c>
      <c r="G59" t="n">
        <v>17.9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23676-2024</t>
        </is>
      </c>
      <c r="B60" s="1" t="n">
        <v>45454.61513888889</v>
      </c>
      <c r="C60" s="1" t="n">
        <v>46042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46487-2024</t>
        </is>
      </c>
      <c r="B61" s="1" t="n">
        <v>45582</v>
      </c>
      <c r="C61" s="1" t="n">
        <v>46042</v>
      </c>
      <c r="D61" t="inlineStr">
        <is>
          <t>SKÅNE LÄN</t>
        </is>
      </c>
      <c r="E61" t="inlineStr">
        <is>
          <t>ÄNGELHOLM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55529-2024</t>
        </is>
      </c>
      <c r="B62" s="1" t="n">
        <v>45622.48444444445</v>
      </c>
      <c r="C62" s="1" t="n">
        <v>46042</v>
      </c>
      <c r="D62" t="inlineStr">
        <is>
          <t>SKÅNE LÄN</t>
        </is>
      </c>
      <c r="E62" t="inlineStr">
        <is>
          <t>ÄNGELHOLM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42826-2025</t>
        </is>
      </c>
      <c r="B63" s="1" t="n">
        <v>45908.57619212963</v>
      </c>
      <c r="C63" s="1" t="n">
        <v>46042</v>
      </c>
      <c r="D63" t="inlineStr">
        <is>
          <t>SKÅNE LÄN</t>
        </is>
      </c>
      <c r="E63" t="inlineStr">
        <is>
          <t>ÄNGELHOLM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43857-2025</t>
        </is>
      </c>
      <c r="B64" s="1" t="n">
        <v>45912.64872685185</v>
      </c>
      <c r="C64" s="1" t="n">
        <v>46042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44012-2025</t>
        </is>
      </c>
      <c r="B65" s="1" t="n">
        <v>45915</v>
      </c>
      <c r="C65" s="1" t="n">
        <v>46042</v>
      </c>
      <c r="D65" t="inlineStr">
        <is>
          <t>SKÅNE LÄN</t>
        </is>
      </c>
      <c r="E65" t="inlineStr">
        <is>
          <t>ÄNGELHOLM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8139-2025</t>
        </is>
      </c>
      <c r="B66" s="1" t="n">
        <v>45708.2620949074</v>
      </c>
      <c r="C66" s="1" t="n">
        <v>46042</v>
      </c>
      <c r="D66" t="inlineStr">
        <is>
          <t>SKÅNE LÄN</t>
        </is>
      </c>
      <c r="E66" t="inlineStr">
        <is>
          <t>ÄNGELHOLM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44448-2023</t>
        </is>
      </c>
      <c r="B67" s="1" t="n">
        <v>45189</v>
      </c>
      <c r="C67" s="1" t="n">
        <v>46042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31143-2024</t>
        </is>
      </c>
      <c r="B68" s="1" t="n">
        <v>45502</v>
      </c>
      <c r="C68" s="1" t="n">
        <v>46042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32020-2025</t>
        </is>
      </c>
      <c r="B69" s="1" t="n">
        <v>45835.4065625</v>
      </c>
      <c r="C69" s="1" t="n">
        <v>46042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23328-2022</t>
        </is>
      </c>
      <c r="B70" s="1" t="n">
        <v>44720.50751157408</v>
      </c>
      <c r="C70" s="1" t="n">
        <v>46042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15154-2023</t>
        </is>
      </c>
      <c r="B71" s="1" t="n">
        <v>45016</v>
      </c>
      <c r="C71" s="1" t="n">
        <v>46042</v>
      </c>
      <c r="D71" t="inlineStr">
        <is>
          <t>SKÅNE LÄN</t>
        </is>
      </c>
      <c r="E71" t="inlineStr">
        <is>
          <t>ÄNGELHOLM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46286-2024</t>
        </is>
      </c>
      <c r="B72" s="1" t="n">
        <v>45581</v>
      </c>
      <c r="C72" s="1" t="n">
        <v>46042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55544-2022</t>
        </is>
      </c>
      <c r="B73" s="1" t="n">
        <v>44887</v>
      </c>
      <c r="C73" s="1" t="n">
        <v>46042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46712-2025</t>
        </is>
      </c>
      <c r="B74" s="1" t="n">
        <v>45926.57591435185</v>
      </c>
      <c r="C74" s="1" t="n">
        <v>46042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13662-2025</t>
        </is>
      </c>
      <c r="B75" s="1" t="n">
        <v>45736.77020833334</v>
      </c>
      <c r="C75" s="1" t="n">
        <v>46042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47116-2025</t>
        </is>
      </c>
      <c r="B76" s="1" t="n">
        <v>45929.67606481481</v>
      </c>
      <c r="C76" s="1" t="n">
        <v>46042</v>
      </c>
      <c r="D76" t="inlineStr">
        <is>
          <t>SKÅNE LÄN</t>
        </is>
      </c>
      <c r="E76" t="inlineStr">
        <is>
          <t>ÄNGELHOLM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46042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7337-2024</t>
        </is>
      </c>
      <c r="B78" s="1" t="n">
        <v>45345</v>
      </c>
      <c r="C78" s="1" t="n">
        <v>46042</v>
      </c>
      <c r="D78" t="inlineStr">
        <is>
          <t>SKÅNE LÄN</t>
        </is>
      </c>
      <c r="E78" t="inlineStr">
        <is>
          <t>ÄNGELHOLM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49610-2024</t>
        </is>
      </c>
      <c r="B79" s="1" t="n">
        <v>45596</v>
      </c>
      <c r="C79" s="1" t="n">
        <v>46042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13235-2025</t>
        </is>
      </c>
      <c r="B80" s="1" t="n">
        <v>45735</v>
      </c>
      <c r="C80" s="1" t="n">
        <v>46042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13243-2025</t>
        </is>
      </c>
      <c r="B81" s="1" t="n">
        <v>45735</v>
      </c>
      <c r="C81" s="1" t="n">
        <v>46042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49885-2022</t>
        </is>
      </c>
      <c r="B82" s="1" t="n">
        <v>44864</v>
      </c>
      <c r="C82" s="1" t="n">
        <v>46042</v>
      </c>
      <c r="D82" t="inlineStr">
        <is>
          <t>SKÅNE LÄN</t>
        </is>
      </c>
      <c r="E82" t="inlineStr">
        <is>
          <t>ÄNGELHOLM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4088-2024</t>
        </is>
      </c>
      <c r="B83" s="1" t="n">
        <v>45323</v>
      </c>
      <c r="C83" s="1" t="n">
        <v>46042</v>
      </c>
      <c r="D83" t="inlineStr">
        <is>
          <t>SKÅNE LÄN</t>
        </is>
      </c>
      <c r="E83" t="inlineStr">
        <is>
          <t>ÄNGELHOLM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46042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46042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46042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46042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46042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38028-2025</t>
        </is>
      </c>
      <c r="B89" s="1" t="n">
        <v>45882.3615625</v>
      </c>
      <c r="C89" s="1" t="n">
        <v>46042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52519-2025</t>
        </is>
      </c>
      <c r="B90" s="1" t="n">
        <v>45954.51563657408</v>
      </c>
      <c r="C90" s="1" t="n">
        <v>46042</v>
      </c>
      <c r="D90" t="inlineStr">
        <is>
          <t>SKÅNE LÄN</t>
        </is>
      </c>
      <c r="E90" t="inlineStr">
        <is>
          <t>ÄNGELHOLM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38856-2025</t>
        </is>
      </c>
      <c r="B91" s="1" t="n">
        <v>45887</v>
      </c>
      <c r="C91" s="1" t="n">
        <v>46042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25129-2024</t>
        </is>
      </c>
      <c r="B92" s="1" t="n">
        <v>45462.46355324074</v>
      </c>
      <c r="C92" s="1" t="n">
        <v>46042</v>
      </c>
      <c r="D92" t="inlineStr">
        <is>
          <t>SKÅNE LÄN</t>
        </is>
      </c>
      <c r="E92" t="inlineStr">
        <is>
          <t>ÄNGELHOLM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4755-2024</t>
        </is>
      </c>
      <c r="B93" s="1" t="n">
        <v>45328.66599537037</v>
      </c>
      <c r="C93" s="1" t="n">
        <v>46042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14400-2023</t>
        </is>
      </c>
      <c r="B94" s="1" t="n">
        <v>45012</v>
      </c>
      <c r="C94" s="1" t="n">
        <v>46042</v>
      </c>
      <c r="D94" t="inlineStr">
        <is>
          <t>SKÅNE LÄN</t>
        </is>
      </c>
      <c r="E94" t="inlineStr">
        <is>
          <t>ÄNGELHOLM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7707-2025</t>
        </is>
      </c>
      <c r="B95" s="1" t="n">
        <v>45705</v>
      </c>
      <c r="C95" s="1" t="n">
        <v>46042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23227-2023</t>
        </is>
      </c>
      <c r="B96" s="1" t="n">
        <v>45075</v>
      </c>
      <c r="C96" s="1" t="n">
        <v>46042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9578-2025</t>
        </is>
      </c>
      <c r="B97" s="1" t="n">
        <v>45715.62634259259</v>
      </c>
      <c r="C97" s="1" t="n">
        <v>46042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8882-2025</t>
        </is>
      </c>
      <c r="B98" s="1" t="n">
        <v>45713</v>
      </c>
      <c r="C98" s="1" t="n">
        <v>46042</v>
      </c>
      <c r="D98" t="inlineStr">
        <is>
          <t>SKÅNE LÄN</t>
        </is>
      </c>
      <c r="E98" t="inlineStr">
        <is>
          <t>ÄNGELHOLM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55728-2025</t>
        </is>
      </c>
      <c r="B99" s="1" t="n">
        <v>45972</v>
      </c>
      <c r="C99" s="1" t="n">
        <v>46042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55707-2025</t>
        </is>
      </c>
      <c r="B100" s="1" t="n">
        <v>45972</v>
      </c>
      <c r="C100" s="1" t="n">
        <v>46042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57725-2025</t>
        </is>
      </c>
      <c r="B101" s="1" t="n">
        <v>45981</v>
      </c>
      <c r="C101" s="1" t="n">
        <v>46042</v>
      </c>
      <c r="D101" t="inlineStr">
        <is>
          <t>SKÅNE LÄN</t>
        </is>
      </c>
      <c r="E101" t="inlineStr">
        <is>
          <t>ÄNGELHOLM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12150-2024</t>
        </is>
      </c>
      <c r="B102" s="1" t="n">
        <v>45377</v>
      </c>
      <c r="C102" s="1" t="n">
        <v>46042</v>
      </c>
      <c r="D102" t="inlineStr">
        <is>
          <t>SKÅNE LÄN</t>
        </is>
      </c>
      <c r="E102" t="inlineStr">
        <is>
          <t>ÄNGELHOLM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46042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46042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46042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46042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46042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4089-2024</t>
        </is>
      </c>
      <c r="B108" s="1" t="n">
        <v>45323</v>
      </c>
      <c r="C108" s="1" t="n">
        <v>46042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2505-2026</t>
        </is>
      </c>
      <c r="B109" s="1" t="n">
        <v>46037.41112268518</v>
      </c>
      <c r="C109" s="1" t="n">
        <v>46042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28496-2023</t>
        </is>
      </c>
      <c r="B110" s="1" t="n">
        <v>45103.45262731481</v>
      </c>
      <c r="C110" s="1" t="n">
        <v>46042</v>
      </c>
      <c r="D110" t="inlineStr">
        <is>
          <t>SKÅNE LÄN</t>
        </is>
      </c>
      <c r="E110" t="inlineStr">
        <is>
          <t>ÄNGELHOLM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1299-2024</t>
        </is>
      </c>
      <c r="B111" s="1" t="n">
        <v>45303</v>
      </c>
      <c r="C111" s="1" t="n">
        <v>46042</v>
      </c>
      <c r="D111" t="inlineStr">
        <is>
          <t>SKÅNE LÄN</t>
        </is>
      </c>
      <c r="E111" t="inlineStr">
        <is>
          <t>ÄNGELHOLM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60227-2025</t>
        </is>
      </c>
      <c r="B112" s="1" t="n">
        <v>45994</v>
      </c>
      <c r="C112" s="1" t="n">
        <v>46042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46042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46042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46042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46042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31908-2023</t>
        </is>
      </c>
      <c r="B117" s="1" t="n">
        <v>45118</v>
      </c>
      <c r="C117" s="1" t="n">
        <v>46042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31502-2023</t>
        </is>
      </c>
      <c r="B118" s="1" t="n">
        <v>45115</v>
      </c>
      <c r="C118" s="1" t="n">
        <v>46042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28253-2023</t>
        </is>
      </c>
      <c r="B119" s="1" t="n">
        <v>45099</v>
      </c>
      <c r="C119" s="1" t="n">
        <v>46042</v>
      </c>
      <c r="D119" t="inlineStr">
        <is>
          <t>SKÅNE LÄN</t>
        </is>
      </c>
      <c r="E119" t="inlineStr">
        <is>
          <t>ÄNGELHOLM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46042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46042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61094-2021</t>
        </is>
      </c>
      <c r="B122" s="1" t="n">
        <v>44498</v>
      </c>
      <c r="C122" s="1" t="n">
        <v>46042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46042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53501-2022</t>
        </is>
      </c>
      <c r="B124" s="1" t="n">
        <v>44879</v>
      </c>
      <c r="C124" s="1" t="n">
        <v>46042</v>
      </c>
      <c r="D124" t="inlineStr">
        <is>
          <t>SKÅNE LÄN</t>
        </is>
      </c>
      <c r="E124" t="inlineStr">
        <is>
          <t>ÄNGELHOLM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54709-2023</t>
        </is>
      </c>
      <c r="B125" s="1" t="n">
        <v>45236.34621527778</v>
      </c>
      <c r="C125" s="1" t="n">
        <v>46042</v>
      </c>
      <c r="D125" t="inlineStr">
        <is>
          <t>SKÅNE LÄN</t>
        </is>
      </c>
      <c r="E125" t="inlineStr">
        <is>
          <t>ÄNGELHOLM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12148-2024</t>
        </is>
      </c>
      <c r="B126" s="1" t="n">
        <v>45377</v>
      </c>
      <c r="C126" s="1" t="n">
        <v>46042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46042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4605-2025</t>
        </is>
      </c>
      <c r="B128" s="1" t="n">
        <v>45687.56328703704</v>
      </c>
      <c r="C128" s="1" t="n">
        <v>46042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46042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46042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46042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46042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46042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46042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46042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7871-2025</t>
        </is>
      </c>
      <c r="B136" s="1" t="n">
        <v>45706</v>
      </c>
      <c r="C136" s="1" t="n">
        <v>46042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46042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29436-2024</t>
        </is>
      </c>
      <c r="B138" s="1" t="n">
        <v>45483.78387731482</v>
      </c>
      <c r="C138" s="1" t="n">
        <v>46042</v>
      </c>
      <c r="D138" t="inlineStr">
        <is>
          <t>SKÅNE LÄN</t>
        </is>
      </c>
      <c r="E138" t="inlineStr">
        <is>
          <t>ÄNGELHOLM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46042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46042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46042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46042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46042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46042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607-2024</t>
        </is>
      </c>
      <c r="B145" s="1" t="n">
        <v>45299</v>
      </c>
      <c r="C145" s="1" t="n">
        <v>46042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49206-2024</t>
        </is>
      </c>
      <c r="B146" s="1" t="n">
        <v>45595.36711805555</v>
      </c>
      <c r="C146" s="1" t="n">
        <v>46042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19503-2022</t>
        </is>
      </c>
      <c r="B147" s="1" t="n">
        <v>44693</v>
      </c>
      <c r="C147" s="1" t="n">
        <v>46042</v>
      </c>
      <c r="D147" t="inlineStr">
        <is>
          <t>SKÅNE LÄN</t>
        </is>
      </c>
      <c r="E147" t="inlineStr">
        <is>
          <t>ÄNGELHOLM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57923-2024</t>
        </is>
      </c>
      <c r="B148" s="1" t="n">
        <v>45631</v>
      </c>
      <c r="C148" s="1" t="n">
        <v>46042</v>
      </c>
      <c r="D148" t="inlineStr">
        <is>
          <t>SKÅNE LÄN</t>
        </is>
      </c>
      <c r="E148" t="inlineStr">
        <is>
          <t>ÄNGELHOLM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10377-2021</t>
        </is>
      </c>
      <c r="B149" s="1" t="n">
        <v>44257</v>
      </c>
      <c r="C149" s="1" t="n">
        <v>46042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308-2023</t>
        </is>
      </c>
      <c r="B150" s="1" t="n">
        <v>44929</v>
      </c>
      <c r="C150" s="1" t="n">
        <v>46042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46042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46042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46042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55748-2024</t>
        </is>
      </c>
      <c r="B154" s="1" t="n">
        <v>45623.3237962963</v>
      </c>
      <c r="C154" s="1" t="n">
        <v>46042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48197-2024</t>
        </is>
      </c>
      <c r="B155" s="1" t="n">
        <v>45590</v>
      </c>
      <c r="C155" s="1" t="n">
        <v>46042</v>
      </c>
      <c r="D155" t="inlineStr">
        <is>
          <t>SKÅNE LÄN</t>
        </is>
      </c>
      <c r="E155" t="inlineStr">
        <is>
          <t>ÄNGELHOLM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2026-01-20T10:59:32Z</dcterms:created>
  <dcterms:modified xmlns:dcterms="http://purl.org/dc/terms/" xmlns:xsi="http://www.w3.org/2001/XMLSchema-instance" xsi:type="dcterms:W3CDTF">2026-01-20T10:59:32Z</dcterms:modified>
</cp:coreProperties>
</file>