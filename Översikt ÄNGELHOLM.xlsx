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45801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45801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45801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45801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45801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45801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HYPERLINK("https://klasma.github.io/Logging_121292/artfynd/A 18559-2025 artfynd.xlsx", "A 18559-2025")</f>
        <v/>
      </c>
      <c r="T7">
        <f>HYPERLINK("https://klasma.github.io/Logging_121292/kartor/A 18559-2025 karta.png", "A 18559-2025")</f>
        <v/>
      </c>
      <c r="V7">
        <f>HYPERLINK("https://klasma.github.io/Logging_121292/klagomål/A 18559-2025 FSC-klagomål.docx", "A 18559-2025")</f>
        <v/>
      </c>
      <c r="W7">
        <f>HYPERLINK("https://klasma.github.io/Logging_121292/klagomålsmail/A 18559-2025 FSC-klagomål mail.docx", "A 18559-2025")</f>
        <v/>
      </c>
      <c r="X7">
        <f>HYPERLINK("https://klasma.github.io/Logging_121292/tillsyn/A 18559-2025 tillsynsbegäran.docx", "A 18559-2025")</f>
        <v/>
      </c>
      <c r="Y7">
        <f>HYPERLINK("https://klasma.github.io/Logging_121292/tillsynsmail/A 18559-2025 tillsynsbegäran mail.docx", "A 18559-2025")</f>
        <v/>
      </c>
      <c r="Z7">
        <f>HYPERLINK("https://klasma.github.io/Logging_121292/fåglar/A 18559-2025 prioriterade fågelarter.docx", "A 18559-2025")</f>
        <v/>
      </c>
    </row>
    <row r="8" ht="15" customHeight="1">
      <c r="A8" t="inlineStr">
        <is>
          <t>A 48597-2019</t>
        </is>
      </c>
      <c r="B8" s="1" t="n">
        <v>43727</v>
      </c>
      <c r="C8" s="1" t="n">
        <v>45801</v>
      </c>
      <c r="D8" t="inlineStr">
        <is>
          <t>SKÅNE LÄN</t>
        </is>
      </c>
      <c r="E8" t="inlineStr">
        <is>
          <t>ÄNGELHOLM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Bjärebjörnbär
Skånebjörnbär</t>
        </is>
      </c>
      <c r="S8">
        <f>HYPERLINK("https://klasma.github.io/Logging_1292/artfynd/A 48597-2019 artfynd.xlsx", "A 48597-2019")</f>
        <v/>
      </c>
      <c r="T8">
        <f>HYPERLINK("https://klasma.github.io/Logging_1292/kartor/A 48597-2019 karta.png", "A 48597-2019")</f>
        <v/>
      </c>
      <c r="V8">
        <f>HYPERLINK("https://klasma.github.io/Logging_1292/klagomål/A 48597-2019 FSC-klagomål.docx", "A 48597-2019")</f>
        <v/>
      </c>
      <c r="W8">
        <f>HYPERLINK("https://klasma.github.io/Logging_1292/klagomålsmail/A 48597-2019 FSC-klagomål mail.docx", "A 48597-2019")</f>
        <v/>
      </c>
      <c r="X8">
        <f>HYPERLINK("https://klasma.github.io/Logging_1292/tillsyn/A 48597-2019 tillsynsbegäran.docx", "A 48597-2019")</f>
        <v/>
      </c>
      <c r="Y8">
        <f>HYPERLINK("https://klasma.github.io/Logging_1292/tillsynsmail/A 48597-2019 tillsynsbegäran mail.docx", "A 48597-2019")</f>
        <v/>
      </c>
    </row>
    <row r="9" ht="15" customHeight="1">
      <c r="A9" t="inlineStr">
        <is>
          <t>A 58790-2020</t>
        </is>
      </c>
      <c r="B9" s="1" t="n">
        <v>44146</v>
      </c>
      <c r="C9" s="1" t="n">
        <v>45801</v>
      </c>
      <c r="D9" t="inlineStr">
        <is>
          <t>SKÅNE LÄN</t>
        </is>
      </c>
      <c r="E9" t="inlineStr">
        <is>
          <t>ÄNGELHOLM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Skogsbräsma</t>
        </is>
      </c>
      <c r="S9">
        <f>HYPERLINK("https://klasma.github.io/Logging_1292/artfynd/A 58790-2020 artfynd.xlsx", "A 58790-2020")</f>
        <v/>
      </c>
      <c r="T9">
        <f>HYPERLINK("https://klasma.github.io/Logging_1292/kartor/A 58790-2020 karta.png", "A 58790-2020")</f>
        <v/>
      </c>
      <c r="V9">
        <f>HYPERLINK("https://klasma.github.io/Logging_1292/klagomål/A 58790-2020 FSC-klagomål.docx", "A 58790-2020")</f>
        <v/>
      </c>
      <c r="W9">
        <f>HYPERLINK("https://klasma.github.io/Logging_1292/klagomålsmail/A 58790-2020 FSC-klagomål mail.docx", "A 58790-2020")</f>
        <v/>
      </c>
      <c r="X9">
        <f>HYPERLINK("https://klasma.github.io/Logging_1292/tillsyn/A 58790-2020 tillsynsbegäran.docx", "A 58790-2020")</f>
        <v/>
      </c>
      <c r="Y9">
        <f>HYPERLINK("https://klasma.github.io/Logging_1292/tillsynsmail/A 58790-2020 tillsynsbegäran mail.docx", "A 58790-2020")</f>
        <v/>
      </c>
      <c r="Z9">
        <f>HYPERLINK("https://klasma.github.io/Logging_1292/fåglar/A 58790-2020 prioriterade fågelarter.docx", "A 58790-2020")</f>
        <v/>
      </c>
    </row>
    <row r="10" ht="15" customHeight="1">
      <c r="A10" t="inlineStr">
        <is>
          <t>A 29157-2023</t>
        </is>
      </c>
      <c r="B10" s="1" t="n">
        <v>45105</v>
      </c>
      <c r="C10" s="1" t="n">
        <v>45801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51114-2019</t>
        </is>
      </c>
      <c r="B11" s="1" t="n">
        <v>43732</v>
      </c>
      <c r="C11" s="1" t="n">
        <v>45801</v>
      </c>
      <c r="D11" t="inlineStr">
        <is>
          <t>SKÅNE LÄN</t>
        </is>
      </c>
      <c r="E11" t="inlineStr">
        <is>
          <t>ÄNGELHOLM</t>
        </is>
      </c>
      <c r="G11" t="n">
        <v>10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HYPERLINK("https://klasma.github.io/Logging_1292/artfynd/A 51114-2019 artfynd.xlsx", "A 51114-2019")</f>
        <v/>
      </c>
      <c r="T11">
        <f>HYPERLINK("https://klasma.github.io/Logging_1292/kartor/A 51114-2019 karta.png", "A 51114-2019")</f>
        <v/>
      </c>
      <c r="V11">
        <f>HYPERLINK("https://klasma.github.io/Logging_1292/klagomål/A 51114-2019 FSC-klagomål.docx", "A 51114-2019")</f>
        <v/>
      </c>
      <c r="W11">
        <f>HYPERLINK("https://klasma.github.io/Logging_1292/klagomålsmail/A 51114-2019 FSC-klagomål mail.docx", "A 51114-2019")</f>
        <v/>
      </c>
      <c r="X11">
        <f>HYPERLINK("https://klasma.github.io/Logging_1292/tillsyn/A 51114-2019 tillsynsbegäran.docx", "A 51114-2019")</f>
        <v/>
      </c>
      <c r="Y11">
        <f>HYPERLINK("https://klasma.github.io/Logging_1292/tillsynsmail/A 51114-2019 tillsynsbegäran mail.docx", "A 51114-2019")</f>
        <v/>
      </c>
    </row>
    <row r="12" ht="15" customHeight="1">
      <c r="A12" t="inlineStr">
        <is>
          <t>A 7635-2020</t>
        </is>
      </c>
      <c r="B12" s="1" t="n">
        <v>43872</v>
      </c>
      <c r="C12" s="1" t="n">
        <v>45801</v>
      </c>
      <c r="D12" t="inlineStr">
        <is>
          <t>SKÅNE LÄN</t>
        </is>
      </c>
      <c r="E12" t="inlineStr">
        <is>
          <t>ÄNGELHOLM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HYPERLINK("https://klasma.github.io/Logging_1292/artfynd/A 7635-2020 artfynd.xlsx", "A 7635-2020")</f>
        <v/>
      </c>
      <c r="T12">
        <f>HYPERLINK("https://klasma.github.io/Logging_1292/kartor/A 7635-2020 karta.png", "A 7635-2020")</f>
        <v/>
      </c>
      <c r="V12">
        <f>HYPERLINK("https://klasma.github.io/Logging_1292/klagomål/A 7635-2020 FSC-klagomål.docx", "A 7635-2020")</f>
        <v/>
      </c>
      <c r="W12">
        <f>HYPERLINK("https://klasma.github.io/Logging_1292/klagomålsmail/A 7635-2020 FSC-klagomål mail.docx", "A 7635-2020")</f>
        <v/>
      </c>
      <c r="X12">
        <f>HYPERLINK("https://klasma.github.io/Logging_1292/tillsyn/A 7635-2020 tillsynsbegäran.docx", "A 7635-2020")</f>
        <v/>
      </c>
      <c r="Y12">
        <f>HYPERLINK("https://klasma.github.io/Logging_1292/tillsynsmail/A 7635-2020 tillsynsbegäran mail.docx", "A 7635-2020")</f>
        <v/>
      </c>
    </row>
    <row r="13" ht="15" customHeight="1">
      <c r="A13" t="inlineStr">
        <is>
          <t>A 8665-2020</t>
        </is>
      </c>
      <c r="B13" s="1" t="n">
        <v>43878</v>
      </c>
      <c r="C13" s="1" t="n">
        <v>45801</v>
      </c>
      <c r="D13" t="inlineStr">
        <is>
          <t>SKÅNE LÄN</t>
        </is>
      </c>
      <c r="E13" t="inlineStr">
        <is>
          <t>ÄNGELHOLM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Glansbjörnbär</t>
        </is>
      </c>
      <c r="S13">
        <f>HYPERLINK("https://klasma.github.io/Logging_1292/artfynd/A 8665-2020 artfynd.xlsx", "A 8665-2020")</f>
        <v/>
      </c>
      <c r="T13">
        <f>HYPERLINK("https://klasma.github.io/Logging_1292/kartor/A 8665-2020 karta.png", "A 8665-2020")</f>
        <v/>
      </c>
      <c r="V13">
        <f>HYPERLINK("https://klasma.github.io/Logging_1292/klagomål/A 8665-2020 FSC-klagomål.docx", "A 8665-2020")</f>
        <v/>
      </c>
      <c r="W13">
        <f>HYPERLINK("https://klasma.github.io/Logging_1292/klagomålsmail/A 8665-2020 FSC-klagomål mail.docx", "A 8665-2020")</f>
        <v/>
      </c>
      <c r="X13">
        <f>HYPERLINK("https://klasma.github.io/Logging_1292/tillsyn/A 8665-2020 tillsynsbegäran.docx", "A 8665-2020")</f>
        <v/>
      </c>
      <c r="Y13">
        <f>HYPERLINK("https://klasma.github.io/Logging_1292/tillsynsmail/A 8665-2020 tillsynsbegäran mail.docx", "A 8665-2020")</f>
        <v/>
      </c>
    </row>
    <row r="14" ht="15" customHeight="1">
      <c r="A14" t="inlineStr">
        <is>
          <t>A 65104-2020</t>
        </is>
      </c>
      <c r="B14" s="1" t="n">
        <v>44172</v>
      </c>
      <c r="C14" s="1" t="n">
        <v>45801</v>
      </c>
      <c r="D14" t="inlineStr">
        <is>
          <t>SKÅNE LÄN</t>
        </is>
      </c>
      <c r="E14" t="inlineStr">
        <is>
          <t>ÄNGELHOLM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HYPERLINK("https://klasma.github.io/Logging_1292/artfynd/A 65104-2020 artfynd.xlsx", "A 65104-2020")</f>
        <v/>
      </c>
      <c r="T14">
        <f>HYPERLINK("https://klasma.github.io/Logging_1292/kartor/A 65104-2020 karta.png", "A 65104-2020")</f>
        <v/>
      </c>
      <c r="V14">
        <f>HYPERLINK("https://klasma.github.io/Logging_1292/klagomål/A 65104-2020 FSC-klagomål.docx", "A 65104-2020")</f>
        <v/>
      </c>
      <c r="W14">
        <f>HYPERLINK("https://klasma.github.io/Logging_1292/klagomålsmail/A 65104-2020 FSC-klagomål mail.docx", "A 65104-2020")</f>
        <v/>
      </c>
      <c r="X14">
        <f>HYPERLINK("https://klasma.github.io/Logging_1292/tillsyn/A 65104-2020 tillsynsbegäran.docx", "A 65104-2020")</f>
        <v/>
      </c>
      <c r="Y14">
        <f>HYPERLINK("https://klasma.github.io/Logging_1292/tillsynsmail/A 65104-2020 tillsynsbegäran mail.docx", "A 65104-2020")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45801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27327-2022</t>
        </is>
      </c>
      <c r="B16" s="1" t="n">
        <v>44742</v>
      </c>
      <c r="C16" s="1" t="n">
        <v>45801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27327-2022 artfynd.xlsx", "A 27327-2022")</f>
        <v/>
      </c>
      <c r="T16">
        <f>HYPERLINK("https://klasma.github.io/Logging_1292/kartor/A 27327-2022 karta.png", "A 27327-2022")</f>
        <v/>
      </c>
      <c r="V16">
        <f>HYPERLINK("https://klasma.github.io/Logging_1292/klagomål/A 27327-2022 FSC-klagomål.docx", "A 27327-2022")</f>
        <v/>
      </c>
      <c r="W16">
        <f>HYPERLINK("https://klasma.github.io/Logging_1292/klagomålsmail/A 27327-2022 FSC-klagomål mail.docx", "A 27327-2022")</f>
        <v/>
      </c>
      <c r="X16">
        <f>HYPERLINK("https://klasma.github.io/Logging_1292/tillsyn/A 27327-2022 tillsynsbegäran.docx", "A 27327-2022")</f>
        <v/>
      </c>
      <c r="Y16">
        <f>HYPERLINK("https://klasma.github.io/Logging_1292/tillsynsmail/A 27327-2022 tillsynsbegäran mail.docx", "A 27327-2022")</f>
        <v/>
      </c>
    </row>
    <row r="17" ht="15" customHeight="1">
      <c r="A17" t="inlineStr">
        <is>
          <t>A 28265-2022</t>
        </is>
      </c>
      <c r="B17" s="1" t="n">
        <v>44746</v>
      </c>
      <c r="C17" s="1" t="n">
        <v>45801</v>
      </c>
      <c r="D17" t="inlineStr">
        <is>
          <t>SKÅNE LÄN</t>
        </is>
      </c>
      <c r="E17" t="inlineStr">
        <is>
          <t>ÄNGELHOLM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HYPERLINK("https://klasma.github.io/Logging_1292/artfynd/A 28265-2022 artfynd.xlsx", "A 28265-2022")</f>
        <v/>
      </c>
      <c r="T17">
        <f>HYPERLINK("https://klasma.github.io/Logging_1292/kartor/A 28265-2022 karta.png", "A 28265-2022")</f>
        <v/>
      </c>
      <c r="V17">
        <f>HYPERLINK("https://klasma.github.io/Logging_1292/klagomål/A 28265-2022 FSC-klagomål.docx", "A 28265-2022")</f>
        <v/>
      </c>
      <c r="W17">
        <f>HYPERLINK("https://klasma.github.io/Logging_1292/klagomålsmail/A 28265-2022 FSC-klagomål mail.docx", "A 28265-2022")</f>
        <v/>
      </c>
      <c r="X17">
        <f>HYPERLINK("https://klasma.github.io/Logging_1292/tillsyn/A 28265-2022 tillsynsbegäran.docx", "A 28265-2022")</f>
        <v/>
      </c>
      <c r="Y17">
        <f>HYPERLINK("https://klasma.github.io/Logging_1292/tillsynsmail/A 28265-2022 tillsynsbegäran mail.docx", "A 28265-2022")</f>
        <v/>
      </c>
      <c r="Z17">
        <f>HYPERLINK("https://klasma.github.io/Logging_1292/fåglar/A 28265-2022 prioriterade fågelarter.docx", "A 28265-2022")</f>
        <v/>
      </c>
    </row>
    <row r="18" ht="15" customHeight="1">
      <c r="A18" t="inlineStr">
        <is>
          <t>A 36038-2022</t>
        </is>
      </c>
      <c r="B18" s="1" t="n">
        <v>44802</v>
      </c>
      <c r="C18" s="1" t="n">
        <v>45801</v>
      </c>
      <c r="D18" t="inlineStr">
        <is>
          <t>SKÅNE LÄN</t>
        </is>
      </c>
      <c r="E18" t="inlineStr">
        <is>
          <t>ÄNGELHOLM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HYPERLINK("https://klasma.github.io/Logging_1292/artfynd/A 36038-2022 artfynd.xlsx", "A 36038-2022")</f>
        <v/>
      </c>
      <c r="T18">
        <f>HYPERLINK("https://klasma.github.io/Logging_1292/kartor/A 36038-2022 karta.png", "A 36038-2022")</f>
        <v/>
      </c>
      <c r="V18">
        <f>HYPERLINK("https://klasma.github.io/Logging_1292/klagomål/A 36038-2022 FSC-klagomål.docx", "A 36038-2022")</f>
        <v/>
      </c>
      <c r="W18">
        <f>HYPERLINK("https://klasma.github.io/Logging_1292/klagomålsmail/A 36038-2022 FSC-klagomål mail.docx", "A 36038-2022")</f>
        <v/>
      </c>
      <c r="X18">
        <f>HYPERLINK("https://klasma.github.io/Logging_1292/tillsyn/A 36038-2022 tillsynsbegäran.docx", "A 36038-2022")</f>
        <v/>
      </c>
      <c r="Y18">
        <f>HYPERLINK("https://klasma.github.io/Logging_1292/tillsynsmail/A 36038-2022 tillsynsbegäran mail.docx", "A 36038-2022")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45801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45801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64562-2023</t>
        </is>
      </c>
      <c r="B21" s="1" t="n">
        <v>45281</v>
      </c>
      <c r="C21" s="1" t="n">
        <v>45801</v>
      </c>
      <c r="D21" t="inlineStr">
        <is>
          <t>SKÅNE LÄN</t>
        </is>
      </c>
      <c r="E21" t="inlineStr">
        <is>
          <t>ÄNGELHOLM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64562-2023 artfynd.xlsx", "A 64562-2023")</f>
        <v/>
      </c>
      <c r="T21">
        <f>HYPERLINK("https://klasma.github.io/Logging_1292/kartor/A 64562-2023 karta.png", "A 64562-2023")</f>
        <v/>
      </c>
      <c r="V21">
        <f>HYPERLINK("https://klasma.github.io/Logging_1292/klagomål/A 64562-2023 FSC-klagomål.docx", "A 64562-2023")</f>
        <v/>
      </c>
      <c r="W21">
        <f>HYPERLINK("https://klasma.github.io/Logging_1292/klagomålsmail/A 64562-2023 FSC-klagomål mail.docx", "A 64562-2023")</f>
        <v/>
      </c>
      <c r="X21">
        <f>HYPERLINK("https://klasma.github.io/Logging_1292/tillsyn/A 64562-2023 tillsynsbegäran.docx", "A 64562-2023")</f>
        <v/>
      </c>
      <c r="Y21">
        <f>HYPERLINK("https://klasma.github.io/Logging_1292/tillsynsmail/A 64562-2023 tillsynsbegäran mail.docx", "A 64562-2023")</f>
        <v/>
      </c>
    </row>
    <row r="22" ht="15" customHeight="1">
      <c r="A22" t="inlineStr">
        <is>
          <t>A 48064-2024</t>
        </is>
      </c>
      <c r="B22" s="1" t="n">
        <v>45589</v>
      </c>
      <c r="C22" s="1" t="n">
        <v>45801</v>
      </c>
      <c r="D22" t="inlineStr">
        <is>
          <t>SKÅNE LÄN</t>
        </is>
      </c>
      <c r="E22" t="inlineStr">
        <is>
          <t>ÄNGELHOLM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Klotullört</t>
        </is>
      </c>
      <c r="S22">
        <f>HYPERLINK("https://klasma.github.io/Logging_1292/artfynd/A 48064-2024 artfynd.xlsx", "A 48064-2024")</f>
        <v/>
      </c>
      <c r="T22">
        <f>HYPERLINK("https://klasma.github.io/Logging_1292/kartor/A 48064-2024 karta.png", "A 48064-2024")</f>
        <v/>
      </c>
      <c r="V22">
        <f>HYPERLINK("https://klasma.github.io/Logging_1292/klagomål/A 48064-2024 FSC-klagomål.docx", "A 48064-2024")</f>
        <v/>
      </c>
      <c r="W22">
        <f>HYPERLINK("https://klasma.github.io/Logging_1292/klagomålsmail/A 48064-2024 FSC-klagomål mail.docx", "A 48064-2024")</f>
        <v/>
      </c>
      <c r="X22">
        <f>HYPERLINK("https://klasma.github.io/Logging_1292/tillsyn/A 48064-2024 tillsynsbegäran.docx", "A 48064-2024")</f>
        <v/>
      </c>
      <c r="Y22">
        <f>HYPERLINK("https://klasma.github.io/Logging_1292/tillsynsmail/A 48064-2024 tillsynsbegäran mail.docx", "A 48064-2024")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45801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22516-2019</t>
        </is>
      </c>
      <c r="B24" s="1" t="n">
        <v>43587</v>
      </c>
      <c r="C24" s="1" t="n">
        <v>45801</v>
      </c>
      <c r="D24" t="inlineStr">
        <is>
          <t>SKÅNE LÄN</t>
        </is>
      </c>
      <c r="E24" t="inlineStr">
        <is>
          <t>ÄNGELHOLM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23781-2019</t>
        </is>
      </c>
      <c r="B25" s="1" t="n">
        <v>43595</v>
      </c>
      <c r="C25" s="1" t="n">
        <v>45801</v>
      </c>
      <c r="D25" t="inlineStr">
        <is>
          <t>SKÅNE LÄN</t>
        </is>
      </c>
      <c r="E25" t="inlineStr">
        <is>
          <t>ÄNGELHOLM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24095-2019</t>
        </is>
      </c>
      <c r="B26" s="1" t="n">
        <v>43598</v>
      </c>
      <c r="C26" s="1" t="n">
        <v>45801</v>
      </c>
      <c r="D26" t="inlineStr">
        <is>
          <t>SKÅNE LÄN</t>
        </is>
      </c>
      <c r="E26" t="inlineStr">
        <is>
          <t>ÄNGELHOLM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27059-2019</t>
        </is>
      </c>
      <c r="B27" s="1" t="n">
        <v>43614</v>
      </c>
      <c r="C27" s="1" t="n">
        <v>45801</v>
      </c>
      <c r="D27" t="inlineStr">
        <is>
          <t>SKÅNE LÄN</t>
        </is>
      </c>
      <c r="E27" t="inlineStr">
        <is>
          <t>ÄNGELHOLM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43405-2019</t>
        </is>
      </c>
      <c r="B28" s="1" t="n">
        <v>43706</v>
      </c>
      <c r="C28" s="1" t="n">
        <v>45801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43407-2019</t>
        </is>
      </c>
      <c r="B29" s="1" t="n">
        <v>43706</v>
      </c>
      <c r="C29" s="1" t="n">
        <v>45801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45734-2019</t>
        </is>
      </c>
      <c r="B30" s="1" t="n">
        <v>43712</v>
      </c>
      <c r="C30" s="1" t="n">
        <v>45801</v>
      </c>
      <c r="D30" t="inlineStr">
        <is>
          <t>SKÅNE LÄN</t>
        </is>
      </c>
      <c r="E30" t="inlineStr">
        <is>
          <t>ÄNGELHOLM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45682-2019</t>
        </is>
      </c>
      <c r="B31" s="1" t="n">
        <v>43717</v>
      </c>
      <c r="C31" s="1" t="n">
        <v>45801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45693-2019</t>
        </is>
      </c>
      <c r="B32" s="1" t="n">
        <v>43717</v>
      </c>
      <c r="C32" s="1" t="n">
        <v>45801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64755-2019</t>
        </is>
      </c>
      <c r="B33" s="1" t="n">
        <v>43801</v>
      </c>
      <c r="C33" s="1" t="n">
        <v>45801</v>
      </c>
      <c r="D33" t="inlineStr">
        <is>
          <t>SKÅNE LÄN</t>
        </is>
      </c>
      <c r="E33" t="inlineStr">
        <is>
          <t>ÄNGELHOLM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67739-2019</t>
        </is>
      </c>
      <c r="B34" s="1" t="n">
        <v>43810</v>
      </c>
      <c r="C34" s="1" t="n">
        <v>45801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67731-2019</t>
        </is>
      </c>
      <c r="B35" s="1" t="n">
        <v>43810</v>
      </c>
      <c r="C35" s="1" t="n">
        <v>45801</v>
      </c>
      <c r="D35" t="inlineStr">
        <is>
          <t>SKÅNE LÄN</t>
        </is>
      </c>
      <c r="E35" t="inlineStr">
        <is>
          <t>ÄNGELHOLM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7539-2020</t>
        </is>
      </c>
      <c r="B36" s="1" t="n">
        <v>43872</v>
      </c>
      <c r="C36" s="1" t="n">
        <v>45801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9498-2020</t>
        </is>
      </c>
      <c r="B37" s="1" t="n">
        <v>43880</v>
      </c>
      <c r="C37" s="1" t="n">
        <v>45801</v>
      </c>
      <c r="D37" t="inlineStr">
        <is>
          <t>SKÅNE LÄN</t>
        </is>
      </c>
      <c r="E37" t="inlineStr">
        <is>
          <t>ÄNGELHOLM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11783-2020</t>
        </is>
      </c>
      <c r="B38" s="1" t="n">
        <v>43894</v>
      </c>
      <c r="C38" s="1" t="n">
        <v>45801</v>
      </c>
      <c r="D38" t="inlineStr">
        <is>
          <t>SKÅNE LÄN</t>
        </is>
      </c>
      <c r="E38" t="inlineStr">
        <is>
          <t>ÄNGELHOLM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12507-2020</t>
        </is>
      </c>
      <c r="B39" s="1" t="n">
        <v>43896</v>
      </c>
      <c r="C39" s="1" t="n">
        <v>45801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23714-2020</t>
        </is>
      </c>
      <c r="B40" s="1" t="n">
        <v>43970</v>
      </c>
      <c r="C40" s="1" t="n">
        <v>45801</v>
      </c>
      <c r="D40" t="inlineStr">
        <is>
          <t>SKÅNE LÄN</t>
        </is>
      </c>
      <c r="E40" t="inlineStr">
        <is>
          <t>ÄNGELHOLM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25723-2020</t>
        </is>
      </c>
      <c r="B41" s="1" t="n">
        <v>43984</v>
      </c>
      <c r="C41" s="1" t="n">
        <v>45801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35435-2020</t>
        </is>
      </c>
      <c r="B42" s="1" t="n">
        <v>44042</v>
      </c>
      <c r="C42" s="1" t="n">
        <v>45801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35442-2020</t>
        </is>
      </c>
      <c r="B43" s="1" t="n">
        <v>44042</v>
      </c>
      <c r="C43" s="1" t="n">
        <v>45801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35439-2020</t>
        </is>
      </c>
      <c r="B44" s="1" t="n">
        <v>44042</v>
      </c>
      <c r="C44" s="1" t="n">
        <v>45801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42565-2020</t>
        </is>
      </c>
      <c r="B45" s="1" t="n">
        <v>44077</v>
      </c>
      <c r="C45" s="1" t="n">
        <v>45801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43645-2020</t>
        </is>
      </c>
      <c r="B46" s="1" t="n">
        <v>44078</v>
      </c>
      <c r="C46" s="1" t="n">
        <v>45801</v>
      </c>
      <c r="D46" t="inlineStr">
        <is>
          <t>SKÅNE LÄN</t>
        </is>
      </c>
      <c r="E46" t="inlineStr">
        <is>
          <t>ÄNGELHOLM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47566-2020</t>
        </is>
      </c>
      <c r="B47" s="1" t="n">
        <v>44098</v>
      </c>
      <c r="C47" s="1" t="n">
        <v>45801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68428-2020</t>
        </is>
      </c>
      <c r="B48" s="1" t="n">
        <v>44183</v>
      </c>
      <c r="C48" s="1" t="n">
        <v>45801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1620-2021</t>
        </is>
      </c>
      <c r="B49" s="1" t="n">
        <v>44209</v>
      </c>
      <c r="C49" s="1" t="n">
        <v>45801</v>
      </c>
      <c r="D49" t="inlineStr">
        <is>
          <t>SKÅNE LÄN</t>
        </is>
      </c>
      <c r="E49" t="inlineStr">
        <is>
          <t>ÄNGELHOLM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1578-2021</t>
        </is>
      </c>
      <c r="B50" s="1" t="n">
        <v>44209</v>
      </c>
      <c r="C50" s="1" t="n">
        <v>45801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4244-2021</t>
        </is>
      </c>
      <c r="B51" s="1" t="n">
        <v>44223</v>
      </c>
      <c r="C51" s="1" t="n">
        <v>45801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4933-2021</t>
        </is>
      </c>
      <c r="B52" s="1" t="n">
        <v>44227</v>
      </c>
      <c r="C52" s="1" t="n">
        <v>45801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45801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10377-2021</t>
        </is>
      </c>
      <c r="B54" s="1" t="n">
        <v>44257</v>
      </c>
      <c r="C54" s="1" t="n">
        <v>45801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45801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13876-2021</t>
        </is>
      </c>
      <c r="B56" s="1" t="n">
        <v>44277</v>
      </c>
      <c r="C56" s="1" t="n">
        <v>45801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13873-2021</t>
        </is>
      </c>
      <c r="B57" s="1" t="n">
        <v>44277</v>
      </c>
      <c r="C57" s="1" t="n">
        <v>45801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24691-2021</t>
        </is>
      </c>
      <c r="B58" s="1" t="n">
        <v>44340</v>
      </c>
      <c r="C58" s="1" t="n">
        <v>45801</v>
      </c>
      <c r="D58" t="inlineStr">
        <is>
          <t>SKÅNE LÄN</t>
        </is>
      </c>
      <c r="E58" t="inlineStr">
        <is>
          <t>ÄNGELHOLM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24932-2021</t>
        </is>
      </c>
      <c r="B59" s="1" t="n">
        <v>44341</v>
      </c>
      <c r="C59" s="1" t="n">
        <v>45801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32735-2021</t>
        </is>
      </c>
      <c r="B60" s="1" t="n">
        <v>44375</v>
      </c>
      <c r="C60" s="1" t="n">
        <v>45801</v>
      </c>
      <c r="D60" t="inlineStr">
        <is>
          <t>SKÅNE LÄN</t>
        </is>
      </c>
      <c r="E60" t="inlineStr">
        <is>
          <t>ÄNGELHOLM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49361-2021</t>
        </is>
      </c>
      <c r="B61" s="1" t="n">
        <v>44454</v>
      </c>
      <c r="C61" s="1" t="n">
        <v>45801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56063-2021</t>
        </is>
      </c>
      <c r="B62" s="1" t="n">
        <v>44477</v>
      </c>
      <c r="C62" s="1" t="n">
        <v>45801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56094-2021</t>
        </is>
      </c>
      <c r="B63" s="1" t="n">
        <v>44477</v>
      </c>
      <c r="C63" s="1" t="n">
        <v>45801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56569-2021</t>
        </is>
      </c>
      <c r="B64" s="1" t="n">
        <v>44480</v>
      </c>
      <c r="C64" s="1" t="n">
        <v>45801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61265-2021</t>
        </is>
      </c>
      <c r="B65" s="1" t="n">
        <v>44498</v>
      </c>
      <c r="C65" s="1" t="n">
        <v>45801</v>
      </c>
      <c r="D65" t="inlineStr">
        <is>
          <t>SKÅNE LÄN</t>
        </is>
      </c>
      <c r="E65" t="inlineStr">
        <is>
          <t>ÄNGELHOLM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61094-2021</t>
        </is>
      </c>
      <c r="B66" s="1" t="n">
        <v>44498</v>
      </c>
      <c r="C66" s="1" t="n">
        <v>45801</v>
      </c>
      <c r="D66" t="inlineStr">
        <is>
          <t>SKÅNE LÄN</t>
        </is>
      </c>
      <c r="E66" t="inlineStr">
        <is>
          <t>ÄNGELHOLM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61269-2021</t>
        </is>
      </c>
      <c r="B67" s="1" t="n">
        <v>44498</v>
      </c>
      <c r="C67" s="1" t="n">
        <v>45801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61263-2021</t>
        </is>
      </c>
      <c r="B68" s="1" t="n">
        <v>44498</v>
      </c>
      <c r="C68" s="1" t="n">
        <v>45801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74214-2021</t>
        </is>
      </c>
      <c r="B69" s="1" t="n">
        <v>44553</v>
      </c>
      <c r="C69" s="1" t="n">
        <v>45801</v>
      </c>
      <c r="D69" t="inlineStr">
        <is>
          <t>SKÅNE LÄN</t>
        </is>
      </c>
      <c r="E69" t="inlineStr">
        <is>
          <t>ÄNGELHOLM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</v>
      </c>
      <c r="C70" s="1" t="n">
        <v>45801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8665-2022</t>
        </is>
      </c>
      <c r="B71" s="1" t="n">
        <v>44613</v>
      </c>
      <c r="C71" s="1" t="n">
        <v>45801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11773-2022</t>
        </is>
      </c>
      <c r="B72" s="1" t="n">
        <v>44634</v>
      </c>
      <c r="C72" s="1" t="n">
        <v>45801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11775-2022</t>
        </is>
      </c>
      <c r="B73" s="1" t="n">
        <v>44634</v>
      </c>
      <c r="C73" s="1" t="n">
        <v>45801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15046-2022</t>
        </is>
      </c>
      <c r="B74" s="1" t="n">
        <v>44657</v>
      </c>
      <c r="C74" s="1" t="n">
        <v>45801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45801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45801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</v>
      </c>
      <c r="C77" s="1" t="n">
        <v>45801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24233-2022</t>
        </is>
      </c>
      <c r="B78" s="1" t="n">
        <v>44725</v>
      </c>
      <c r="C78" s="1" t="n">
        <v>45801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28264-2022</t>
        </is>
      </c>
      <c r="B79" s="1" t="n">
        <v>44746</v>
      </c>
      <c r="C79" s="1" t="n">
        <v>45801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30558-2022</t>
        </is>
      </c>
      <c r="B80" s="1" t="n">
        <v>44762</v>
      </c>
      <c r="C80" s="1" t="n">
        <v>45801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36041-2022</t>
        </is>
      </c>
      <c r="B81" s="1" t="n">
        <v>44802</v>
      </c>
      <c r="C81" s="1" t="n">
        <v>45801</v>
      </c>
      <c r="D81" t="inlineStr">
        <is>
          <t>SKÅNE LÄN</t>
        </is>
      </c>
      <c r="E81" t="inlineStr">
        <is>
          <t>ÄNGELHOLM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36036-2022</t>
        </is>
      </c>
      <c r="B82" s="1" t="n">
        <v>44802</v>
      </c>
      <c r="C82" s="1" t="n">
        <v>45801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36358-2022</t>
        </is>
      </c>
      <c r="B83" s="1" t="n">
        <v>44803</v>
      </c>
      <c r="C83" s="1" t="n">
        <v>45801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37055-2022</t>
        </is>
      </c>
      <c r="B84" s="1" t="n">
        <v>44806</v>
      </c>
      <c r="C84" s="1" t="n">
        <v>45801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41725-2022</t>
        </is>
      </c>
      <c r="B85" s="1" t="n">
        <v>44827</v>
      </c>
      <c r="C85" s="1" t="n">
        <v>45801</v>
      </c>
      <c r="D85" t="inlineStr">
        <is>
          <t>SKÅNE LÄN</t>
        </is>
      </c>
      <c r="E85" t="inlineStr">
        <is>
          <t>ÄNGELHOLM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41769-2022</t>
        </is>
      </c>
      <c r="B86" s="1" t="n">
        <v>44827</v>
      </c>
      <c r="C86" s="1" t="n">
        <v>45801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41764-2022</t>
        </is>
      </c>
      <c r="B87" s="1" t="n">
        <v>44827</v>
      </c>
      <c r="C87" s="1" t="n">
        <v>45801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</v>
      </c>
      <c r="C88" s="1" t="n">
        <v>45801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45801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44060-2022</t>
        </is>
      </c>
      <c r="B90" s="1" t="n">
        <v>44839</v>
      </c>
      <c r="C90" s="1" t="n">
        <v>45801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44247-2022</t>
        </is>
      </c>
      <c r="B91" s="1" t="n">
        <v>44839</v>
      </c>
      <c r="C91" s="1" t="n">
        <v>45801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44473-2022</t>
        </is>
      </c>
      <c r="B92" s="1" t="n">
        <v>44840</v>
      </c>
      <c r="C92" s="1" t="n">
        <v>45801</v>
      </c>
      <c r="D92" t="inlineStr">
        <is>
          <t>SKÅNE LÄN</t>
        </is>
      </c>
      <c r="E92" t="inlineStr">
        <is>
          <t>ÄNGELHOLM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45288-2022</t>
        </is>
      </c>
      <c r="B93" s="1" t="n">
        <v>44844</v>
      </c>
      <c r="C93" s="1" t="n">
        <v>45801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45305-2022</t>
        </is>
      </c>
      <c r="B94" s="1" t="n">
        <v>44844</v>
      </c>
      <c r="C94" s="1" t="n">
        <v>45801</v>
      </c>
      <c r="D94" t="inlineStr">
        <is>
          <t>SKÅNE LÄN</t>
        </is>
      </c>
      <c r="E94" t="inlineStr">
        <is>
          <t>ÄNGELHOLM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45749-2022</t>
        </is>
      </c>
      <c r="B95" s="1" t="n">
        <v>44846</v>
      </c>
      <c r="C95" s="1" t="n">
        <v>45801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48592-2022</t>
        </is>
      </c>
      <c r="B96" s="1" t="n">
        <v>44859</v>
      </c>
      <c r="C96" s="1" t="n">
        <v>45801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45801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53501-2022</t>
        </is>
      </c>
      <c r="B98" s="1" t="n">
        <v>44879</v>
      </c>
      <c r="C98" s="1" t="n">
        <v>45801</v>
      </c>
      <c r="D98" t="inlineStr">
        <is>
          <t>SKÅNE LÄN</t>
        </is>
      </c>
      <c r="E98" t="inlineStr">
        <is>
          <t>ÄNGELHOLM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53742-2022</t>
        </is>
      </c>
      <c r="B99" s="1" t="n">
        <v>44880</v>
      </c>
      <c r="C99" s="1" t="n">
        <v>45801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55544-2022</t>
        </is>
      </c>
      <c r="B100" s="1" t="n">
        <v>44887</v>
      </c>
      <c r="C100" s="1" t="n">
        <v>45801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45801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55750-2022</t>
        </is>
      </c>
      <c r="B102" s="1" t="n">
        <v>44888</v>
      </c>
      <c r="C102" s="1" t="n">
        <v>45801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56380-2022</t>
        </is>
      </c>
      <c r="B103" s="1" t="n">
        <v>44890</v>
      </c>
      <c r="C103" s="1" t="n">
        <v>45801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58135-2022</t>
        </is>
      </c>
      <c r="B104" s="1" t="n">
        <v>44900</v>
      </c>
      <c r="C104" s="1" t="n">
        <v>45801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45801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45801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45801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595-2023</t>
        </is>
      </c>
      <c r="B108" s="1" t="n">
        <v>44930</v>
      </c>
      <c r="C108" s="1" t="n">
        <v>45801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3633-2023</t>
        </is>
      </c>
      <c r="B109" s="1" t="n">
        <v>44950</v>
      </c>
      <c r="C109" s="1" t="n">
        <v>45801</v>
      </c>
      <c r="D109" t="inlineStr">
        <is>
          <t>SKÅNE LÄN</t>
        </is>
      </c>
      <c r="E109" t="inlineStr">
        <is>
          <t>ÄNGELHOLM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4109-2023</t>
        </is>
      </c>
      <c r="B110" s="1" t="n">
        <v>44952</v>
      </c>
      <c r="C110" s="1" t="n">
        <v>45801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7762-2023</t>
        </is>
      </c>
      <c r="B111" s="1" t="n">
        <v>44973</v>
      </c>
      <c r="C111" s="1" t="n">
        <v>45801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45801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</v>
      </c>
      <c r="C113" s="1" t="n">
        <v>45801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45801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45801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45801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19091-2023</t>
        </is>
      </c>
      <c r="B117" s="1" t="n">
        <v>45048</v>
      </c>
      <c r="C117" s="1" t="n">
        <v>45801</v>
      </c>
      <c r="D117" t="inlineStr">
        <is>
          <t>SKÅNE LÄN</t>
        </is>
      </c>
      <c r="E117" t="inlineStr">
        <is>
          <t>ÄNGELHOLM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19140-2023</t>
        </is>
      </c>
      <c r="B118" s="1" t="n">
        <v>45048</v>
      </c>
      <c r="C118" s="1" t="n">
        <v>45801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21069-2023</t>
        </is>
      </c>
      <c r="B119" s="1" t="n">
        <v>45061</v>
      </c>
      <c r="C119" s="1" t="n">
        <v>45801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45801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21367-2023</t>
        </is>
      </c>
      <c r="B121" s="1" t="n">
        <v>45063</v>
      </c>
      <c r="C121" s="1" t="n">
        <v>45801</v>
      </c>
      <c r="D121" t="inlineStr">
        <is>
          <t>SKÅNE LÄN</t>
        </is>
      </c>
      <c r="E121" t="inlineStr">
        <is>
          <t>ÄNGELHOLM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21957-2023</t>
        </is>
      </c>
      <c r="B122" s="1" t="n">
        <v>45068</v>
      </c>
      <c r="C122" s="1" t="n">
        <v>45801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22947-2023</t>
        </is>
      </c>
      <c r="B123" s="1" t="n">
        <v>45070</v>
      </c>
      <c r="C123" s="1" t="n">
        <v>45801</v>
      </c>
      <c r="D123" t="inlineStr">
        <is>
          <t>SKÅNE LÄN</t>
        </is>
      </c>
      <c r="E123" t="inlineStr">
        <is>
          <t>ÄNGELHOLM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23228-2023</t>
        </is>
      </c>
      <c r="B124" s="1" t="n">
        <v>45075</v>
      </c>
      <c r="C124" s="1" t="n">
        <v>45801</v>
      </c>
      <c r="D124" t="inlineStr">
        <is>
          <t>SKÅNE LÄN</t>
        </is>
      </c>
      <c r="E124" t="inlineStr">
        <is>
          <t>ÄNGELHOLM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45801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26255-2023</t>
        </is>
      </c>
      <c r="B126" s="1" t="n">
        <v>45091</v>
      </c>
      <c r="C126" s="1" t="n">
        <v>45801</v>
      </c>
      <c r="D126" t="inlineStr">
        <is>
          <t>SKÅNE LÄN</t>
        </is>
      </c>
      <c r="E126" t="inlineStr">
        <is>
          <t>ÄNGELHOLM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26259-2023</t>
        </is>
      </c>
      <c r="B127" s="1" t="n">
        <v>45091</v>
      </c>
      <c r="C127" s="1" t="n">
        <v>45801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45801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45801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28105-2023</t>
        </is>
      </c>
      <c r="B130" s="1" t="n">
        <v>45099</v>
      </c>
      <c r="C130" s="1" t="n">
        <v>45801</v>
      </c>
      <c r="D130" t="inlineStr">
        <is>
          <t>SKÅNE LÄN</t>
        </is>
      </c>
      <c r="E130" t="inlineStr">
        <is>
          <t>ÄNGELHOLM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45801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45801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45801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45801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</v>
      </c>
      <c r="C135" s="1" t="n">
        <v>45801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45801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31789-2023</t>
        </is>
      </c>
      <c r="B137" s="1" t="n">
        <v>45118</v>
      </c>
      <c r="C137" s="1" t="n">
        <v>45801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45801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31836-2023</t>
        </is>
      </c>
      <c r="B139" s="1" t="n">
        <v>45118</v>
      </c>
      <c r="C139" s="1" t="n">
        <v>45801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45801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32274-2023</t>
        </is>
      </c>
      <c r="B141" s="1" t="n">
        <v>45120</v>
      </c>
      <c r="C141" s="1" t="n">
        <v>45801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32277-2023</t>
        </is>
      </c>
      <c r="B142" s="1" t="n">
        <v>45120</v>
      </c>
      <c r="C142" s="1" t="n">
        <v>45801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32364-2023</t>
        </is>
      </c>
      <c r="B143" s="1" t="n">
        <v>45120</v>
      </c>
      <c r="C143" s="1" t="n">
        <v>45801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32362-2023</t>
        </is>
      </c>
      <c r="B144" s="1" t="n">
        <v>45120</v>
      </c>
      <c r="C144" s="1" t="n">
        <v>45801</v>
      </c>
      <c r="D144" t="inlineStr">
        <is>
          <t>SKÅNE LÄN</t>
        </is>
      </c>
      <c r="E144" t="inlineStr">
        <is>
          <t>ÄNGELHOLM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45801</v>
      </c>
      <c r="D145" t="inlineStr">
        <is>
          <t>SKÅNE LÄN</t>
        </is>
      </c>
      <c r="E145" t="inlineStr">
        <is>
          <t>ÄNGELHOLM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32459-2023</t>
        </is>
      </c>
      <c r="B146" s="1" t="n">
        <v>45120</v>
      </c>
      <c r="C146" s="1" t="n">
        <v>45801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33188-2023</t>
        </is>
      </c>
      <c r="B147" s="1" t="n">
        <v>45127</v>
      </c>
      <c r="C147" s="1" t="n">
        <v>45801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</v>
      </c>
      <c r="C148" s="1" t="n">
        <v>45801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34513-2023</t>
        </is>
      </c>
      <c r="B149" s="1" t="n">
        <v>45140</v>
      </c>
      <c r="C149" s="1" t="n">
        <v>45801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36940-2023</t>
        </is>
      </c>
      <c r="B150" s="1" t="n">
        <v>45154</v>
      </c>
      <c r="C150" s="1" t="n">
        <v>45801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45801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45801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40275-2023</t>
        </is>
      </c>
      <c r="B153" s="1" t="n">
        <v>45169</v>
      </c>
      <c r="C153" s="1" t="n">
        <v>45801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44448-2023</t>
        </is>
      </c>
      <c r="B154" s="1" t="n">
        <v>45189</v>
      </c>
      <c r="C154" s="1" t="n">
        <v>45801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48309-2023</t>
        </is>
      </c>
      <c r="B155" s="1" t="n">
        <v>45205</v>
      </c>
      <c r="C155" s="1" t="n">
        <v>45801</v>
      </c>
      <c r="D155" t="inlineStr">
        <is>
          <t>SKÅNE LÄN</t>
        </is>
      </c>
      <c r="E155" t="inlineStr">
        <is>
          <t>ÄNGELHOLM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45801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54709-2023</t>
        </is>
      </c>
      <c r="B157" s="1" t="n">
        <v>45236</v>
      </c>
      <c r="C157" s="1" t="n">
        <v>45801</v>
      </c>
      <c r="D157" t="inlineStr">
        <is>
          <t>SKÅNE LÄN</t>
        </is>
      </c>
      <c r="E157" t="inlineStr">
        <is>
          <t>ÄNGELHOLM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57552-2023</t>
        </is>
      </c>
      <c r="B158" s="1" t="n">
        <v>45246</v>
      </c>
      <c r="C158" s="1" t="n">
        <v>45801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58814-2023</t>
        </is>
      </c>
      <c r="B159" s="1" t="n">
        <v>45252</v>
      </c>
      <c r="C159" s="1" t="n">
        <v>45801</v>
      </c>
      <c r="D159" t="inlineStr">
        <is>
          <t>SKÅNE LÄN</t>
        </is>
      </c>
      <c r="E159" t="inlineStr">
        <is>
          <t>ÄNGELHOLM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60725-2023</t>
        </is>
      </c>
      <c r="B160" s="1" t="n">
        <v>45260</v>
      </c>
      <c r="C160" s="1" t="n">
        <v>45801</v>
      </c>
      <c r="D160" t="inlineStr">
        <is>
          <t>SKÅNE LÄN</t>
        </is>
      </c>
      <c r="E160" t="inlineStr">
        <is>
          <t>ÄNGELHOLM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61180-2023</t>
        </is>
      </c>
      <c r="B161" s="1" t="n">
        <v>45263</v>
      </c>
      <c r="C161" s="1" t="n">
        <v>45801</v>
      </c>
      <c r="D161" t="inlineStr">
        <is>
          <t>SKÅNE LÄN</t>
        </is>
      </c>
      <c r="E161" t="inlineStr">
        <is>
          <t>ÄNGELHOLM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64728-2023</t>
        </is>
      </c>
      <c r="B162" s="1" t="n">
        <v>45281</v>
      </c>
      <c r="C162" s="1" t="n">
        <v>45801</v>
      </c>
      <c r="D162" t="inlineStr">
        <is>
          <t>SKÅNE LÄN</t>
        </is>
      </c>
      <c r="E162" t="inlineStr">
        <is>
          <t>ÄNGELHOLM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60-2024</t>
        </is>
      </c>
      <c r="B163" s="1" t="n">
        <v>45293</v>
      </c>
      <c r="C163" s="1" t="n">
        <v>45801</v>
      </c>
      <c r="D163" t="inlineStr">
        <is>
          <t>SKÅNE LÄN</t>
        </is>
      </c>
      <c r="E163" t="inlineStr">
        <is>
          <t>ÄNGELHOLM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607-2024</t>
        </is>
      </c>
      <c r="B164" s="1" t="n">
        <v>45299</v>
      </c>
      <c r="C164" s="1" t="n">
        <v>45801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729-2024</t>
        </is>
      </c>
      <c r="B165" s="1" t="n">
        <v>45300</v>
      </c>
      <c r="C165" s="1" t="n">
        <v>45801</v>
      </c>
      <c r="D165" t="inlineStr">
        <is>
          <t>SKÅNE LÄN</t>
        </is>
      </c>
      <c r="E165" t="inlineStr">
        <is>
          <t>ÄNGELHOLM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1299-2024</t>
        </is>
      </c>
      <c r="B166" s="1" t="n">
        <v>45303</v>
      </c>
      <c r="C166" s="1" t="n">
        <v>45801</v>
      </c>
      <c r="D166" t="inlineStr">
        <is>
          <t>SKÅNE LÄN</t>
        </is>
      </c>
      <c r="E166" t="inlineStr">
        <is>
          <t>ÄNGELHOLM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1832-2024</t>
        </is>
      </c>
      <c r="B167" s="1" t="n">
        <v>45307</v>
      </c>
      <c r="C167" s="1" t="n">
        <v>45801</v>
      </c>
      <c r="D167" t="inlineStr">
        <is>
          <t>SKÅNE LÄN</t>
        </is>
      </c>
      <c r="E167" t="inlineStr">
        <is>
          <t>ÄNGELHOLM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1932-2024</t>
        </is>
      </c>
      <c r="B168" s="1" t="n">
        <v>45308</v>
      </c>
      <c r="C168" s="1" t="n">
        <v>45801</v>
      </c>
      <c r="D168" t="inlineStr">
        <is>
          <t>SKÅNE LÄN</t>
        </is>
      </c>
      <c r="E168" t="inlineStr">
        <is>
          <t>ÄNGELHOLM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2575-2024</t>
        </is>
      </c>
      <c r="B169" s="1" t="n">
        <v>45313</v>
      </c>
      <c r="C169" s="1" t="n">
        <v>45801</v>
      </c>
      <c r="D169" t="inlineStr">
        <is>
          <t>SKÅNE LÄN</t>
        </is>
      </c>
      <c r="E169" t="inlineStr">
        <is>
          <t>ÄNGELHOLM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4088-2024</t>
        </is>
      </c>
      <c r="B170" s="1" t="n">
        <v>45323</v>
      </c>
      <c r="C170" s="1" t="n">
        <v>45801</v>
      </c>
      <c r="D170" t="inlineStr">
        <is>
          <t>SKÅNE LÄN</t>
        </is>
      </c>
      <c r="E170" t="inlineStr">
        <is>
          <t>ÄNGELHOLM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4089-2024</t>
        </is>
      </c>
      <c r="B171" s="1" t="n">
        <v>45323</v>
      </c>
      <c r="C171" s="1" t="n">
        <v>45801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4751-2024</t>
        </is>
      </c>
      <c r="B172" s="1" t="n">
        <v>45328</v>
      </c>
      <c r="C172" s="1" t="n">
        <v>45801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4755-2024</t>
        </is>
      </c>
      <c r="B173" s="1" t="n">
        <v>45328</v>
      </c>
      <c r="C173" s="1" t="n">
        <v>45801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6446-2024</t>
        </is>
      </c>
      <c r="B174" s="1" t="n">
        <v>45338</v>
      </c>
      <c r="C174" s="1" t="n">
        <v>45801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6356-2024</t>
        </is>
      </c>
      <c r="B175" s="1" t="n">
        <v>45338</v>
      </c>
      <c r="C175" s="1" t="n">
        <v>45801</v>
      </c>
      <c r="D175" t="inlineStr">
        <is>
          <t>SKÅNE LÄN</t>
        </is>
      </c>
      <c r="E175" t="inlineStr">
        <is>
          <t>ÄNGELHOLM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6447-2024</t>
        </is>
      </c>
      <c r="B176" s="1" t="n">
        <v>45338</v>
      </c>
      <c r="C176" s="1" t="n">
        <v>45801</v>
      </c>
      <c r="D176" t="inlineStr">
        <is>
          <t>SKÅNE LÄN</t>
        </is>
      </c>
      <c r="E176" t="inlineStr">
        <is>
          <t>ÄNGELHOLM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7337-2024</t>
        </is>
      </c>
      <c r="B177" s="1" t="n">
        <v>45345</v>
      </c>
      <c r="C177" s="1" t="n">
        <v>45801</v>
      </c>
      <c r="D177" t="inlineStr">
        <is>
          <t>SKÅNE LÄN</t>
        </is>
      </c>
      <c r="E177" t="inlineStr">
        <is>
          <t>ÄNGELHOLM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11220-2024</t>
        </is>
      </c>
      <c r="B178" s="1" t="n">
        <v>45371</v>
      </c>
      <c r="C178" s="1" t="n">
        <v>45801</v>
      </c>
      <c r="D178" t="inlineStr">
        <is>
          <t>SKÅNE LÄN</t>
        </is>
      </c>
      <c r="E178" t="inlineStr">
        <is>
          <t>ÄNGELHOLM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12148-2024</t>
        </is>
      </c>
      <c r="B179" s="1" t="n">
        <v>45377</v>
      </c>
      <c r="C179" s="1" t="n">
        <v>45801</v>
      </c>
      <c r="D179" t="inlineStr">
        <is>
          <t>SKÅNE LÄN</t>
        </is>
      </c>
      <c r="E179" t="inlineStr">
        <is>
          <t>ÄNGELHOLM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12048-2024</t>
        </is>
      </c>
      <c r="B180" s="1" t="n">
        <v>45377</v>
      </c>
      <c r="C180" s="1" t="n">
        <v>45801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12150-2024</t>
        </is>
      </c>
      <c r="B181" s="1" t="n">
        <v>45377</v>
      </c>
      <c r="C181" s="1" t="n">
        <v>45801</v>
      </c>
      <c r="D181" t="inlineStr">
        <is>
          <t>SKÅNE LÄN</t>
        </is>
      </c>
      <c r="E181" t="inlineStr">
        <is>
          <t>ÄNGELHOLM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13173-2024</t>
        </is>
      </c>
      <c r="B182" s="1" t="n">
        <v>45386</v>
      </c>
      <c r="C182" s="1" t="n">
        <v>45801</v>
      </c>
      <c r="D182" t="inlineStr">
        <is>
          <t>SKÅNE LÄN</t>
        </is>
      </c>
      <c r="E182" t="inlineStr">
        <is>
          <t>ÄNGELHOLM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16314-2024</t>
        </is>
      </c>
      <c r="B183" s="1" t="n">
        <v>45407</v>
      </c>
      <c r="C183" s="1" t="n">
        <v>45801</v>
      </c>
      <c r="D183" t="inlineStr">
        <is>
          <t>SKÅNE LÄN</t>
        </is>
      </c>
      <c r="E183" t="inlineStr">
        <is>
          <t>ÄNGELHOLM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20635-2024</t>
        </is>
      </c>
      <c r="B184" s="1" t="n">
        <v>45436</v>
      </c>
      <c r="C184" s="1" t="n">
        <v>45801</v>
      </c>
      <c r="D184" t="inlineStr">
        <is>
          <t>SKÅNE LÄN</t>
        </is>
      </c>
      <c r="E184" t="inlineStr">
        <is>
          <t>ÄNGELHOLM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20979-2024</t>
        </is>
      </c>
      <c r="B185" s="1" t="n">
        <v>45439</v>
      </c>
      <c r="C185" s="1" t="n">
        <v>45801</v>
      </c>
      <c r="D185" t="inlineStr">
        <is>
          <t>SKÅNE LÄN</t>
        </is>
      </c>
      <c r="E185" t="inlineStr">
        <is>
          <t>ÄNGELHOLM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21837-2024</t>
        </is>
      </c>
      <c r="B186" s="1" t="n">
        <v>45443</v>
      </c>
      <c r="C186" s="1" t="n">
        <v>45801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23676-2024</t>
        </is>
      </c>
      <c r="B187" s="1" t="n">
        <v>45454</v>
      </c>
      <c r="C187" s="1" t="n">
        <v>45801</v>
      </c>
      <c r="D187" t="inlineStr">
        <is>
          <t>SKÅNE LÄN</t>
        </is>
      </c>
      <c r="E187" t="inlineStr">
        <is>
          <t>ÄNGELHOLM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23976-2024</t>
        </is>
      </c>
      <c r="B188" s="1" t="n">
        <v>45456</v>
      </c>
      <c r="C188" s="1" t="n">
        <v>45801</v>
      </c>
      <c r="D188" t="inlineStr">
        <is>
          <t>SKÅNE LÄN</t>
        </is>
      </c>
      <c r="E188" t="inlineStr">
        <is>
          <t>ÄNGELHOLM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23980-2024</t>
        </is>
      </c>
      <c r="B189" s="1" t="n">
        <v>45456</v>
      </c>
      <c r="C189" s="1" t="n">
        <v>45801</v>
      </c>
      <c r="D189" t="inlineStr">
        <is>
          <t>SKÅNE LÄN</t>
        </is>
      </c>
      <c r="E189" t="inlineStr">
        <is>
          <t>ÄNGELHOLM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24855-2024</t>
        </is>
      </c>
      <c r="B190" s="1" t="n">
        <v>45461</v>
      </c>
      <c r="C190" s="1" t="n">
        <v>45801</v>
      </c>
      <c r="D190" t="inlineStr">
        <is>
          <t>SKÅNE LÄN</t>
        </is>
      </c>
      <c r="E190" t="inlineStr">
        <is>
          <t>ÄNGELHOLM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25129-2024</t>
        </is>
      </c>
      <c r="B191" s="1" t="n">
        <v>45462</v>
      </c>
      <c r="C191" s="1" t="n">
        <v>45801</v>
      </c>
      <c r="D191" t="inlineStr">
        <is>
          <t>SKÅNE LÄN</t>
        </is>
      </c>
      <c r="E191" t="inlineStr">
        <is>
          <t>ÄNGELHOLM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25312-2024</t>
        </is>
      </c>
      <c r="B192" s="1" t="n">
        <v>45462</v>
      </c>
      <c r="C192" s="1" t="n">
        <v>45801</v>
      </c>
      <c r="D192" t="inlineStr">
        <is>
          <t>SKÅNE LÄN</t>
        </is>
      </c>
      <c r="E192" t="inlineStr">
        <is>
          <t>ÄNGELHOLM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25669-2024</t>
        </is>
      </c>
      <c r="B193" s="1" t="n">
        <v>45463</v>
      </c>
      <c r="C193" s="1" t="n">
        <v>45801</v>
      </c>
      <c r="D193" t="inlineStr">
        <is>
          <t>SKÅNE LÄN</t>
        </is>
      </c>
      <c r="E193" t="inlineStr">
        <is>
          <t>ÄNGELHOLM</t>
        </is>
      </c>
      <c r="G193" t="n">
        <v>17.9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27544-2024</t>
        </is>
      </c>
      <c r="B194" s="1" t="n">
        <v>45474</v>
      </c>
      <c r="C194" s="1" t="n">
        <v>45801</v>
      </c>
      <c r="D194" t="inlineStr">
        <is>
          <t>SKÅNE LÄN</t>
        </is>
      </c>
      <c r="E194" t="inlineStr">
        <is>
          <t>ÄNGELHOLM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29436-2024</t>
        </is>
      </c>
      <c r="B195" s="1" t="n">
        <v>45483</v>
      </c>
      <c r="C195" s="1" t="n">
        <v>45801</v>
      </c>
      <c r="D195" t="inlineStr">
        <is>
          <t>SKÅNE LÄN</t>
        </is>
      </c>
      <c r="E195" t="inlineStr">
        <is>
          <t>ÄNGELHOLM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31143-2024</t>
        </is>
      </c>
      <c r="B196" s="1" t="n">
        <v>45502</v>
      </c>
      <c r="C196" s="1" t="n">
        <v>45801</v>
      </c>
      <c r="D196" t="inlineStr">
        <is>
          <t>SKÅNE LÄN</t>
        </is>
      </c>
      <c r="E196" t="inlineStr">
        <is>
          <t>ÄNGELHOLM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31634-2024</t>
        </is>
      </c>
      <c r="B197" s="1" t="n">
        <v>45506</v>
      </c>
      <c r="C197" s="1" t="n">
        <v>45801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45661-2024</t>
        </is>
      </c>
      <c r="B198" s="1" t="n">
        <v>45579</v>
      </c>
      <c r="C198" s="1" t="n">
        <v>45801</v>
      </c>
      <c r="D198" t="inlineStr">
        <is>
          <t>SKÅNE LÄN</t>
        </is>
      </c>
      <c r="E198" t="inlineStr">
        <is>
          <t>ÄNGELHOLM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46286-2024</t>
        </is>
      </c>
      <c r="B199" s="1" t="n">
        <v>45581</v>
      </c>
      <c r="C199" s="1" t="n">
        <v>45801</v>
      </c>
      <c r="D199" t="inlineStr">
        <is>
          <t>SKÅNE LÄN</t>
        </is>
      </c>
      <c r="E199" t="inlineStr">
        <is>
          <t>ÄNGELHOLM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46487-2024</t>
        </is>
      </c>
      <c r="B200" s="1" t="n">
        <v>45582</v>
      </c>
      <c r="C200" s="1" t="n">
        <v>45801</v>
      </c>
      <c r="D200" t="inlineStr">
        <is>
          <t>SKÅNE LÄN</t>
        </is>
      </c>
      <c r="E200" t="inlineStr">
        <is>
          <t>ÄNGELHOLM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46613-2024</t>
        </is>
      </c>
      <c r="B201" s="1" t="n">
        <v>45583</v>
      </c>
      <c r="C201" s="1" t="n">
        <v>45801</v>
      </c>
      <c r="D201" t="inlineStr">
        <is>
          <t>SKÅNE LÄN</t>
        </is>
      </c>
      <c r="E201" t="inlineStr">
        <is>
          <t>ÄNGELHOLM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46702-2024</t>
        </is>
      </c>
      <c r="B202" s="1" t="n">
        <v>45583</v>
      </c>
      <c r="C202" s="1" t="n">
        <v>45801</v>
      </c>
      <c r="D202" t="inlineStr">
        <is>
          <t>SKÅNE LÄN</t>
        </is>
      </c>
      <c r="E202" t="inlineStr">
        <is>
          <t>ÄNGELHOLM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48197-2024</t>
        </is>
      </c>
      <c r="B203" s="1" t="n">
        <v>45590</v>
      </c>
      <c r="C203" s="1" t="n">
        <v>45801</v>
      </c>
      <c r="D203" t="inlineStr">
        <is>
          <t>SKÅNE LÄN</t>
        </is>
      </c>
      <c r="E203" t="inlineStr">
        <is>
          <t>ÄNGELHOLM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48743-2024</t>
        </is>
      </c>
      <c r="B204" s="1" t="n">
        <v>45593</v>
      </c>
      <c r="C204" s="1" t="n">
        <v>45801</v>
      </c>
      <c r="D204" t="inlineStr">
        <is>
          <t>SKÅNE LÄN</t>
        </is>
      </c>
      <c r="E204" t="inlineStr">
        <is>
          <t>ÄNGELHOLM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49206-2024</t>
        </is>
      </c>
      <c r="B205" s="1" t="n">
        <v>45595</v>
      </c>
      <c r="C205" s="1" t="n">
        <v>45801</v>
      </c>
      <c r="D205" t="inlineStr">
        <is>
          <t>SKÅNE LÄN</t>
        </is>
      </c>
      <c r="E205" t="inlineStr">
        <is>
          <t>ÄNGELHOLM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49200-2024</t>
        </is>
      </c>
      <c r="B206" s="1" t="n">
        <v>45595</v>
      </c>
      <c r="C206" s="1" t="n">
        <v>45801</v>
      </c>
      <c r="D206" t="inlineStr">
        <is>
          <t>SKÅNE LÄN</t>
        </is>
      </c>
      <c r="E206" t="inlineStr">
        <is>
          <t>ÄNGELHOLM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49610-2024</t>
        </is>
      </c>
      <c r="B207" s="1" t="n">
        <v>45596</v>
      </c>
      <c r="C207" s="1" t="n">
        <v>45801</v>
      </c>
      <c r="D207" t="inlineStr">
        <is>
          <t>SKÅNE LÄN</t>
        </is>
      </c>
      <c r="E207" t="inlineStr">
        <is>
          <t>ÄNGELHOLM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50869-2024</t>
        </is>
      </c>
      <c r="B208" s="1" t="n">
        <v>45602</v>
      </c>
      <c r="C208" s="1" t="n">
        <v>45801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51129-2024</t>
        </is>
      </c>
      <c r="B209" s="1" t="n">
        <v>45603</v>
      </c>
      <c r="C209" s="1" t="n">
        <v>45801</v>
      </c>
      <c r="D209" t="inlineStr">
        <is>
          <t>SKÅNE LÄN</t>
        </is>
      </c>
      <c r="E209" t="inlineStr">
        <is>
          <t>ÄNGELHOLM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55529-2024</t>
        </is>
      </c>
      <c r="B210" s="1" t="n">
        <v>45622</v>
      </c>
      <c r="C210" s="1" t="n">
        <v>45801</v>
      </c>
      <c r="D210" t="inlineStr">
        <is>
          <t>SKÅNE LÄN</t>
        </is>
      </c>
      <c r="E210" t="inlineStr">
        <is>
          <t>ÄNGELHOLM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55748-2024</t>
        </is>
      </c>
      <c r="B211" s="1" t="n">
        <v>45623</v>
      </c>
      <c r="C211" s="1" t="n">
        <v>45801</v>
      </c>
      <c r="D211" t="inlineStr">
        <is>
          <t>SKÅNE LÄN</t>
        </is>
      </c>
      <c r="E211" t="inlineStr">
        <is>
          <t>ÄNGELHOLM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57819-2024</t>
        </is>
      </c>
      <c r="B212" s="1" t="n">
        <v>45631</v>
      </c>
      <c r="C212" s="1" t="n">
        <v>45801</v>
      </c>
      <c r="D212" t="inlineStr">
        <is>
          <t>SKÅNE LÄN</t>
        </is>
      </c>
      <c r="E212" t="inlineStr">
        <is>
          <t>ÄNGELHOLM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57923-2024</t>
        </is>
      </c>
      <c r="B213" s="1" t="n">
        <v>45631</v>
      </c>
      <c r="C213" s="1" t="n">
        <v>45801</v>
      </c>
      <c r="D213" t="inlineStr">
        <is>
          <t>SKÅNE LÄN</t>
        </is>
      </c>
      <c r="E213" t="inlineStr">
        <is>
          <t>ÄNGELHOLM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58150-2024</t>
        </is>
      </c>
      <c r="B214" s="1" t="n">
        <v>45632</v>
      </c>
      <c r="C214" s="1" t="n">
        <v>45801</v>
      </c>
      <c r="D214" t="inlineStr">
        <is>
          <t>SKÅNE LÄN</t>
        </is>
      </c>
      <c r="E214" t="inlineStr">
        <is>
          <t>ÄNGELHOLM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1644-2025</t>
        </is>
      </c>
      <c r="B215" s="1" t="n">
        <v>45670</v>
      </c>
      <c r="C215" s="1" t="n">
        <v>45801</v>
      </c>
      <c r="D215" t="inlineStr">
        <is>
          <t>SKÅNE LÄN</t>
        </is>
      </c>
      <c r="E215" t="inlineStr">
        <is>
          <t>ÄNGELHOLM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1639-2025</t>
        </is>
      </c>
      <c r="B216" s="1" t="n">
        <v>45670</v>
      </c>
      <c r="C216" s="1" t="n">
        <v>45801</v>
      </c>
      <c r="D216" t="inlineStr">
        <is>
          <t>SKÅNE LÄN</t>
        </is>
      </c>
      <c r="E216" t="inlineStr">
        <is>
          <t>ÄNGELHOLM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2202-2025</t>
        </is>
      </c>
      <c r="B217" s="1" t="n">
        <v>45673</v>
      </c>
      <c r="C217" s="1" t="n">
        <v>45801</v>
      </c>
      <c r="D217" t="inlineStr">
        <is>
          <t>SKÅNE LÄN</t>
        </is>
      </c>
      <c r="E217" t="inlineStr">
        <is>
          <t>ÄNGELHOLM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3565-2025</t>
        </is>
      </c>
      <c r="B218" s="1" t="n">
        <v>45680</v>
      </c>
      <c r="C218" s="1" t="n">
        <v>45801</v>
      </c>
      <c r="D218" t="inlineStr">
        <is>
          <t>SKÅNE LÄN</t>
        </is>
      </c>
      <c r="E218" t="inlineStr">
        <is>
          <t>ÄNGELHOLM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4117-2025</t>
        </is>
      </c>
      <c r="B219" s="1" t="n">
        <v>45684</v>
      </c>
      <c r="C219" s="1" t="n">
        <v>45801</v>
      </c>
      <c r="D219" t="inlineStr">
        <is>
          <t>SKÅNE LÄN</t>
        </is>
      </c>
      <c r="E219" t="inlineStr">
        <is>
          <t>ÄNGELHOLM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4605-2025</t>
        </is>
      </c>
      <c r="B220" s="1" t="n">
        <v>45687</v>
      </c>
      <c r="C220" s="1" t="n">
        <v>45801</v>
      </c>
      <c r="D220" t="inlineStr">
        <is>
          <t>SKÅNE LÄN</t>
        </is>
      </c>
      <c r="E220" t="inlineStr">
        <is>
          <t>ÄNGELHOLM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6667-2025</t>
        </is>
      </c>
      <c r="B221" s="1" t="n">
        <v>45700</v>
      </c>
      <c r="C221" s="1" t="n">
        <v>45801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45801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7551-2025</t>
        </is>
      </c>
      <c r="B223" s="1" t="n">
        <v>45705</v>
      </c>
      <c r="C223" s="1" t="n">
        <v>45801</v>
      </c>
      <c r="D223" t="inlineStr">
        <is>
          <t>SKÅNE LÄN</t>
        </is>
      </c>
      <c r="E223" t="inlineStr">
        <is>
          <t>ÄNGELHOLM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7871-2025</t>
        </is>
      </c>
      <c r="B224" s="1" t="n">
        <v>45706</v>
      </c>
      <c r="C224" s="1" t="n">
        <v>45801</v>
      </c>
      <c r="D224" t="inlineStr">
        <is>
          <t>SKÅNE LÄN</t>
        </is>
      </c>
      <c r="E224" t="inlineStr">
        <is>
          <t>ÄNGELHOLM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8139-2025</t>
        </is>
      </c>
      <c r="B225" s="1" t="n">
        <v>45708</v>
      </c>
      <c r="C225" s="1" t="n">
        <v>45801</v>
      </c>
      <c r="D225" t="inlineStr">
        <is>
          <t>SKÅNE LÄN</t>
        </is>
      </c>
      <c r="E225" t="inlineStr">
        <is>
          <t>ÄNGELHOLM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8882-2025</t>
        </is>
      </c>
      <c r="B226" s="1" t="n">
        <v>45713</v>
      </c>
      <c r="C226" s="1" t="n">
        <v>45801</v>
      </c>
      <c r="D226" t="inlineStr">
        <is>
          <t>SKÅNE LÄN</t>
        </is>
      </c>
      <c r="E226" t="inlineStr">
        <is>
          <t>ÄNGELHOLM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9578-2025</t>
        </is>
      </c>
      <c r="B227" s="1" t="n">
        <v>45715</v>
      </c>
      <c r="C227" s="1" t="n">
        <v>45801</v>
      </c>
      <c r="D227" t="inlineStr">
        <is>
          <t>SKÅNE LÄN</t>
        </is>
      </c>
      <c r="E227" t="inlineStr">
        <is>
          <t>ÄNGELHOLM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10454-2025</t>
        </is>
      </c>
      <c r="B228" s="1" t="n">
        <v>45720</v>
      </c>
      <c r="C228" s="1" t="n">
        <v>45801</v>
      </c>
      <c r="D228" t="inlineStr">
        <is>
          <t>SKÅNE LÄN</t>
        </is>
      </c>
      <c r="E228" t="inlineStr">
        <is>
          <t>ÄNGELHOLM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45801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12652-2025</t>
        </is>
      </c>
      <c r="B230" s="1" t="n">
        <v>45733</v>
      </c>
      <c r="C230" s="1" t="n">
        <v>45801</v>
      </c>
      <c r="D230" t="inlineStr">
        <is>
          <t>SKÅNE LÄN</t>
        </is>
      </c>
      <c r="E230" t="inlineStr">
        <is>
          <t>ÄNGELHOLM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13235-2025</t>
        </is>
      </c>
      <c r="B231" s="1" t="n">
        <v>45735</v>
      </c>
      <c r="C231" s="1" t="n">
        <v>45801</v>
      </c>
      <c r="D231" t="inlineStr">
        <is>
          <t>SKÅNE LÄN</t>
        </is>
      </c>
      <c r="E231" t="inlineStr">
        <is>
          <t>ÄNGELHOLM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13243-2025</t>
        </is>
      </c>
      <c r="B232" s="1" t="n">
        <v>45735</v>
      </c>
      <c r="C232" s="1" t="n">
        <v>45801</v>
      </c>
      <c r="D232" t="inlineStr">
        <is>
          <t>SKÅNE LÄN</t>
        </is>
      </c>
      <c r="E232" t="inlineStr">
        <is>
          <t>ÄNGELHOLM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13662-2025</t>
        </is>
      </c>
      <c r="B233" s="1" t="n">
        <v>45736</v>
      </c>
      <c r="C233" s="1" t="n">
        <v>45801</v>
      </c>
      <c r="D233" t="inlineStr">
        <is>
          <t>SKÅNE LÄN</t>
        </is>
      </c>
      <c r="E233" t="inlineStr">
        <is>
          <t>ÄNGELHOLM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18571-2025</t>
        </is>
      </c>
      <c r="B234" s="1" t="n">
        <v>45763</v>
      </c>
      <c r="C234" s="1" t="n">
        <v>45801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20623-2025</t>
        </is>
      </c>
      <c r="B235" s="1" t="n">
        <v>45776</v>
      </c>
      <c r="C235" s="1" t="n">
        <v>45801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2025-05-24T18:32:55Z</dcterms:created>
  <dcterms:modified xmlns:dcterms="http://purl.org/dc/terms/" xmlns:xsi="http://www.w3.org/2001/XMLSchema-instance" xsi:type="dcterms:W3CDTF">2025-05-24T18:32:55Z</dcterms:modified>
</cp:coreProperties>
</file>