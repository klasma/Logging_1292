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46101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46101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46101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46101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46101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46101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46101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46101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46101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46101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46101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46101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46101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3317-2026</t>
        </is>
      </c>
      <c r="B20" s="1" t="n">
        <v>46041</v>
      </c>
      <c r="C20" s="1" t="n">
        <v>46101</v>
      </c>
      <c r="D20" t="inlineStr">
        <is>
          <t>SKÅNE LÄN</t>
        </is>
      </c>
      <c r="E20" t="inlineStr">
        <is>
          <t>ÄNGELHOLM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3317-2026 artfynd.xlsx", "A 3317-2026")</f>
        <v/>
      </c>
      <c r="T20">
        <f>HYPERLINK("https://klasma.github.io/Logging_1292/kartor/A 3317-2026 karta.png", "A 3317-2026")</f>
        <v/>
      </c>
      <c r="V20">
        <f>HYPERLINK("https://klasma.github.io/Logging_1292/klagomål/A 3317-2026 FSC-klagomål.docx", "A 3317-2026")</f>
        <v/>
      </c>
      <c r="W20">
        <f>HYPERLINK("https://klasma.github.io/Logging_1292/klagomålsmail/A 3317-2026 FSC-klagomål mail.docx", "A 3317-2026")</f>
        <v/>
      </c>
      <c r="X20">
        <f>HYPERLINK("https://klasma.github.io/Logging_1292/tillsyn/A 3317-2026 tillsynsbegäran.docx", "A 3317-2026")</f>
        <v/>
      </c>
      <c r="Y20">
        <f>HYPERLINK("https://klasma.github.io/Logging_1292/tillsynsmail/A 3317-2026 tillsynsbegäran mail.docx", "A 3317-2026")</f>
        <v/>
      </c>
      <c r="Z20">
        <f>HYPERLINK("https://klasma.github.io/Logging_1292/fåglar/A 3317-2026 prioriterade fågelarter.docx", "A 3317-2026")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46101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46101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46101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46101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46101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46101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46101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46101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46101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46101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46101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46101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46101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46101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46101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46101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46101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46101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46101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46101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46101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46101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4088-2024</t>
        </is>
      </c>
      <c r="B55" s="1" t="n">
        <v>45323</v>
      </c>
      <c r="C55" s="1" t="n">
        <v>46101</v>
      </c>
      <c r="D55" t="inlineStr">
        <is>
          <t>SKÅNE LÄN</t>
        </is>
      </c>
      <c r="E55" t="inlineStr">
        <is>
          <t>ÄNGELHOLM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46101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46101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31720-2023</t>
        </is>
      </c>
      <c r="B58" s="1" t="n">
        <v>45117.89738425926</v>
      </c>
      <c r="C58" s="1" t="n">
        <v>46101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46101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46101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46101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27553-2023</t>
        </is>
      </c>
      <c r="B62" s="1" t="n">
        <v>45097</v>
      </c>
      <c r="C62" s="1" t="n">
        <v>46101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45456.30621527778</v>
      </c>
      <c r="C63" s="1" t="n">
        <v>46101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28253-2023</t>
        </is>
      </c>
      <c r="B64" s="1" t="n">
        <v>45099</v>
      </c>
      <c r="C64" s="1" t="n">
        <v>46101</v>
      </c>
      <c r="D64" t="inlineStr">
        <is>
          <t>SKÅNE LÄN</t>
        </is>
      </c>
      <c r="E64" t="inlineStr">
        <is>
          <t>ÄNGELHOLM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19503-2022</t>
        </is>
      </c>
      <c r="B65" s="1" t="n">
        <v>44693</v>
      </c>
      <c r="C65" s="1" t="n">
        <v>46101</v>
      </c>
      <c r="D65" t="inlineStr">
        <is>
          <t>SKÅNE LÄN</t>
        </is>
      </c>
      <c r="E65" t="inlineStr">
        <is>
          <t>ÄNGELHOLM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16419-2023</t>
        </is>
      </c>
      <c r="B66" s="1" t="n">
        <v>45022</v>
      </c>
      <c r="C66" s="1" t="n">
        <v>46101</v>
      </c>
      <c r="D66" t="inlineStr">
        <is>
          <t>SKÅNE LÄN</t>
        </is>
      </c>
      <c r="E66" t="inlineStr">
        <is>
          <t>ÄNGELHOLM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46101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38856-2025</t>
        </is>
      </c>
      <c r="B68" s="1" t="n">
        <v>45887</v>
      </c>
      <c r="C68" s="1" t="n">
        <v>46101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38848-2025</t>
        </is>
      </c>
      <c r="B69" s="1" t="n">
        <v>45887</v>
      </c>
      <c r="C69" s="1" t="n">
        <v>46101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49206-2024</t>
        </is>
      </c>
      <c r="B70" s="1" t="n">
        <v>45595.36711805555</v>
      </c>
      <c r="C70" s="1" t="n">
        <v>46101</v>
      </c>
      <c r="D70" t="inlineStr">
        <is>
          <t>SKÅNE LÄN</t>
        </is>
      </c>
      <c r="E70" t="inlineStr">
        <is>
          <t>ÄNGELHOLM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38028-2025</t>
        </is>
      </c>
      <c r="B71" s="1" t="n">
        <v>45882.3615625</v>
      </c>
      <c r="C71" s="1" t="n">
        <v>46101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39810-2025</t>
        </is>
      </c>
      <c r="B72" s="1" t="n">
        <v>45891.5194675926</v>
      </c>
      <c r="C72" s="1" t="n">
        <v>46101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31503-2023</t>
        </is>
      </c>
      <c r="B73" s="1" t="n">
        <v>45115</v>
      </c>
      <c r="C73" s="1" t="n">
        <v>46101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40287-2025</t>
        </is>
      </c>
      <c r="B74" s="1" t="n">
        <v>45895</v>
      </c>
      <c r="C74" s="1" t="n">
        <v>46101</v>
      </c>
      <c r="D74" t="inlineStr">
        <is>
          <t>SKÅNE LÄN</t>
        </is>
      </c>
      <c r="E74" t="inlineStr">
        <is>
          <t>ÄNGELHOLM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41166-2025</t>
        </is>
      </c>
      <c r="B75" s="1" t="n">
        <v>45898</v>
      </c>
      <c r="C75" s="1" t="n">
        <v>46101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42826-2025</t>
        </is>
      </c>
      <c r="B76" s="1" t="n">
        <v>45908.57619212963</v>
      </c>
      <c r="C76" s="1" t="n">
        <v>46101</v>
      </c>
      <c r="D76" t="inlineStr">
        <is>
          <t>SKÅNE LÄN</t>
        </is>
      </c>
      <c r="E76" t="inlineStr">
        <is>
          <t>ÄNGELHOLM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58134-2022</t>
        </is>
      </c>
      <c r="B77" s="1" t="n">
        <v>44900.69137731481</v>
      </c>
      <c r="C77" s="1" t="n">
        <v>46101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44720.50751157408</v>
      </c>
      <c r="C78" s="1" t="n">
        <v>46101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43857-2025</t>
        </is>
      </c>
      <c r="B79" s="1" t="n">
        <v>45912.64872685185</v>
      </c>
      <c r="C79" s="1" t="n">
        <v>46101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32364-2023</t>
        </is>
      </c>
      <c r="B80" s="1" t="n">
        <v>45120.56152777778</v>
      </c>
      <c r="C80" s="1" t="n">
        <v>46101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44012-2025</t>
        </is>
      </c>
      <c r="B81" s="1" t="n">
        <v>45915</v>
      </c>
      <c r="C81" s="1" t="n">
        <v>46101</v>
      </c>
      <c r="D81" t="inlineStr">
        <is>
          <t>SKÅNE LÄN</t>
        </is>
      </c>
      <c r="E81" t="inlineStr">
        <is>
          <t>ÄNGELHOLM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8139-2025</t>
        </is>
      </c>
      <c r="B82" s="1" t="n">
        <v>45708.2620949074</v>
      </c>
      <c r="C82" s="1" t="n">
        <v>46101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40275-2023</t>
        </is>
      </c>
      <c r="B83" s="1" t="n">
        <v>45169</v>
      </c>
      <c r="C83" s="1" t="n">
        <v>46101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46712-2025</t>
        </is>
      </c>
      <c r="B84" s="1" t="n">
        <v>45926.57591435185</v>
      </c>
      <c r="C84" s="1" t="n">
        <v>46101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1644-2025</t>
        </is>
      </c>
      <c r="B85" s="1" t="n">
        <v>45670</v>
      </c>
      <c r="C85" s="1" t="n">
        <v>46101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47116-2025</t>
        </is>
      </c>
      <c r="B86" s="1" t="n">
        <v>45929.67606481481</v>
      </c>
      <c r="C86" s="1" t="n">
        <v>46101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46101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46101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46101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7871-2025</t>
        </is>
      </c>
      <c r="B90" s="1" t="n">
        <v>45706</v>
      </c>
      <c r="C90" s="1" t="n">
        <v>46101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46101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6667-2025</t>
        </is>
      </c>
      <c r="B92" s="1" t="n">
        <v>45700.46334490741</v>
      </c>
      <c r="C92" s="1" t="n">
        <v>46101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308-2023</t>
        </is>
      </c>
      <c r="B93" s="1" t="n">
        <v>44929</v>
      </c>
      <c r="C93" s="1" t="n">
        <v>46101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46101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58137-2022</t>
        </is>
      </c>
      <c r="B95" s="1" t="n">
        <v>44900.69418981481</v>
      </c>
      <c r="C95" s="1" t="n">
        <v>46101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25129-2024</t>
        </is>
      </c>
      <c r="B96" s="1" t="n">
        <v>45462.46355324074</v>
      </c>
      <c r="C96" s="1" t="n">
        <v>46101</v>
      </c>
      <c r="D96" t="inlineStr">
        <is>
          <t>SKÅNE LÄN</t>
        </is>
      </c>
      <c r="E96" t="inlineStr">
        <is>
          <t>ÄNGELHOLM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2575-2024</t>
        </is>
      </c>
      <c r="B97" s="1" t="n">
        <v>45313.63804398148</v>
      </c>
      <c r="C97" s="1" t="n">
        <v>46101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31502-2023</t>
        </is>
      </c>
      <c r="B98" s="1" t="n">
        <v>45115</v>
      </c>
      <c r="C98" s="1" t="n">
        <v>46101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46101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46101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31907-2023</t>
        </is>
      </c>
      <c r="B101" s="1" t="n">
        <v>45118</v>
      </c>
      <c r="C101" s="1" t="n">
        <v>46101</v>
      </c>
      <c r="D101" t="inlineStr">
        <is>
          <t>SKÅNE LÄN</t>
        </is>
      </c>
      <c r="E101" t="inlineStr">
        <is>
          <t>ÄNGELHOLM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46286-2024</t>
        </is>
      </c>
      <c r="B102" s="1" t="n">
        <v>45581</v>
      </c>
      <c r="C102" s="1" t="n">
        <v>46101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55707-2025</t>
        </is>
      </c>
      <c r="B103" s="1" t="n">
        <v>45972</v>
      </c>
      <c r="C103" s="1" t="n">
        <v>46101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55728-2025</t>
        </is>
      </c>
      <c r="B104" s="1" t="n">
        <v>45972</v>
      </c>
      <c r="C104" s="1" t="n">
        <v>46101</v>
      </c>
      <c r="D104" t="inlineStr">
        <is>
          <t>SKÅNE LÄN</t>
        </is>
      </c>
      <c r="E104" t="inlineStr">
        <is>
          <t>ÄNGELHOLM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7994-2023</t>
        </is>
      </c>
      <c r="B105" s="1" t="n">
        <v>44973.77732638889</v>
      </c>
      <c r="C105" s="1" t="n">
        <v>46101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57725-2025</t>
        </is>
      </c>
      <c r="B106" s="1" t="n">
        <v>45981</v>
      </c>
      <c r="C106" s="1" t="n">
        <v>46101</v>
      </c>
      <c r="D106" t="inlineStr">
        <is>
          <t>SKÅNE LÄN</t>
        </is>
      </c>
      <c r="E106" t="inlineStr">
        <is>
          <t>ÄNGELHOLM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8665-2022</t>
        </is>
      </c>
      <c r="B107" s="1" t="n">
        <v>44613</v>
      </c>
      <c r="C107" s="1" t="n">
        <v>46101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46101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31709-2023</t>
        </is>
      </c>
      <c r="B109" s="1" t="n">
        <v>45117</v>
      </c>
      <c r="C109" s="1" t="n">
        <v>46101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46101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46101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60227-2025</t>
        </is>
      </c>
      <c r="B112" s="1" t="n">
        <v>45994</v>
      </c>
      <c r="C112" s="1" t="n">
        <v>46101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40278-2023</t>
        </is>
      </c>
      <c r="B113" s="1" t="n">
        <v>45169</v>
      </c>
      <c r="C113" s="1" t="n">
        <v>46101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5046-2022</t>
        </is>
      </c>
      <c r="B114" s="1" t="n">
        <v>44593.68116898148</v>
      </c>
      <c r="C114" s="1" t="n">
        <v>46101</v>
      </c>
      <c r="D114" t="inlineStr">
        <is>
          <t>SKÅNE LÄN</t>
        </is>
      </c>
      <c r="E114" t="inlineStr">
        <is>
          <t>ÄNGELHOLM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31789-2023</t>
        </is>
      </c>
      <c r="B115" s="1" t="n">
        <v>45118</v>
      </c>
      <c r="C115" s="1" t="n">
        <v>46101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7856-2026</t>
        </is>
      </c>
      <c r="B116" s="1" t="n">
        <v>46062.67539351852</v>
      </c>
      <c r="C116" s="1" t="n">
        <v>46101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7859-2026</t>
        </is>
      </c>
      <c r="B117" s="1" t="n">
        <v>46062.68539351852</v>
      </c>
      <c r="C117" s="1" t="n">
        <v>46101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44062-2022</t>
        </is>
      </c>
      <c r="B118" s="1" t="n">
        <v>44839</v>
      </c>
      <c r="C118" s="1" t="n">
        <v>46101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9055-2026</t>
        </is>
      </c>
      <c r="B119" s="1" t="n">
        <v>46069.55903935185</v>
      </c>
      <c r="C119" s="1" t="n">
        <v>46101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39014-2023</t>
        </is>
      </c>
      <c r="B120" s="1" t="n">
        <v>45163</v>
      </c>
      <c r="C120" s="1" t="n">
        <v>46101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19500-2022</t>
        </is>
      </c>
      <c r="B121" s="1" t="n">
        <v>44693.50188657407</v>
      </c>
      <c r="C121" s="1" t="n">
        <v>46101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44448-2023</t>
        </is>
      </c>
      <c r="B122" s="1" t="n">
        <v>45189</v>
      </c>
      <c r="C122" s="1" t="n">
        <v>46101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9803-2026</t>
        </is>
      </c>
      <c r="B123" s="1" t="n">
        <v>46072</v>
      </c>
      <c r="C123" s="1" t="n">
        <v>46101</v>
      </c>
      <c r="D123" t="inlineStr">
        <is>
          <t>SKÅNE LÄN</t>
        </is>
      </c>
      <c r="E123" t="inlineStr">
        <is>
          <t>ÄNGELHOLM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46101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46101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2505-2026</t>
        </is>
      </c>
      <c r="B126" s="1" t="n">
        <v>46037.41112268518</v>
      </c>
      <c r="C126" s="1" t="n">
        <v>46101</v>
      </c>
      <c r="D126" t="inlineStr">
        <is>
          <t>SKÅNE LÄN</t>
        </is>
      </c>
      <c r="E126" t="inlineStr">
        <is>
          <t>ÄNGELHOLM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55545-2022</t>
        </is>
      </c>
      <c r="B127" s="1" t="n">
        <v>44887</v>
      </c>
      <c r="C127" s="1" t="n">
        <v>46101</v>
      </c>
      <c r="D127" t="inlineStr">
        <is>
          <t>SKÅNE LÄN</t>
        </is>
      </c>
      <c r="E127" t="inlineStr">
        <is>
          <t>ÄNGELHOLM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46101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46101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3565-2025</t>
        </is>
      </c>
      <c r="B130" s="1" t="n">
        <v>45680.68038194445</v>
      </c>
      <c r="C130" s="1" t="n">
        <v>46101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46101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42105-2022</t>
        </is>
      </c>
      <c r="B132" s="1" t="n">
        <v>44830.55204861111</v>
      </c>
      <c r="C132" s="1" t="n">
        <v>46101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15154-2023</t>
        </is>
      </c>
      <c r="B133" s="1" t="n">
        <v>45016</v>
      </c>
      <c r="C133" s="1" t="n">
        <v>46101</v>
      </c>
      <c r="D133" t="inlineStr">
        <is>
          <t>SKÅNE LÄN</t>
        </is>
      </c>
      <c r="E133" t="inlineStr">
        <is>
          <t>ÄNGELHOLM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12768-2026</t>
        </is>
      </c>
      <c r="B134" s="1" t="n">
        <v>46091.67167824074</v>
      </c>
      <c r="C134" s="1" t="n">
        <v>46101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49885-2022</t>
        </is>
      </c>
      <c r="B135" s="1" t="n">
        <v>44864</v>
      </c>
      <c r="C135" s="1" t="n">
        <v>46101</v>
      </c>
      <c r="D135" t="inlineStr">
        <is>
          <t>SKÅNE LÄN</t>
        </is>
      </c>
      <c r="E135" t="inlineStr">
        <is>
          <t>ÄNGELHOLM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46093.74434027778</v>
      </c>
      <c r="C136" s="1" t="n">
        <v>46101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13277-2026</t>
        </is>
      </c>
      <c r="B137" s="1" t="n">
        <v>46093.74275462963</v>
      </c>
      <c r="C137" s="1" t="n">
        <v>46101</v>
      </c>
      <c r="D137" t="inlineStr">
        <is>
          <t>SKÅNE LÄN</t>
        </is>
      </c>
      <c r="E137" t="inlineStr">
        <is>
          <t>ÄNGELHOLM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7337-2024</t>
        </is>
      </c>
      <c r="B138" s="1" t="n">
        <v>45345</v>
      </c>
      <c r="C138" s="1" t="n">
        <v>46101</v>
      </c>
      <c r="D138" t="inlineStr">
        <is>
          <t>SKÅNE LÄN</t>
        </is>
      </c>
      <c r="E138" t="inlineStr">
        <is>
          <t>ÄNGELHOLM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49610-2024</t>
        </is>
      </c>
      <c r="B139" s="1" t="n">
        <v>45596</v>
      </c>
      <c r="C139" s="1" t="n">
        <v>46101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11384-2026</t>
        </is>
      </c>
      <c r="B140" s="1" t="n">
        <v>46083</v>
      </c>
      <c r="C140" s="1" t="n">
        <v>46101</v>
      </c>
      <c r="D140" t="inlineStr">
        <is>
          <t>SKÅNE LÄN</t>
        </is>
      </c>
      <c r="E140" t="inlineStr">
        <is>
          <t>ÄNGELHOLM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14400-2023</t>
        </is>
      </c>
      <c r="B141" s="1" t="n">
        <v>45012</v>
      </c>
      <c r="C141" s="1" t="n">
        <v>46101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4089-2024</t>
        </is>
      </c>
      <c r="B142" s="1" t="n">
        <v>45323</v>
      </c>
      <c r="C142" s="1" t="n">
        <v>46101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23676-2024</t>
        </is>
      </c>
      <c r="B143" s="1" t="n">
        <v>45454.61513888889</v>
      </c>
      <c r="C143" s="1" t="n">
        <v>46101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46101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46101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4755-2024</t>
        </is>
      </c>
      <c r="B146" s="1" t="n">
        <v>45328.66599537037</v>
      </c>
      <c r="C146" s="1" t="n">
        <v>46101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46101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28496-2023</t>
        </is>
      </c>
      <c r="B148" s="1" t="n">
        <v>45103.45262731481</v>
      </c>
      <c r="C148" s="1" t="n">
        <v>46101</v>
      </c>
      <c r="D148" t="inlineStr">
        <is>
          <t>SKÅNE LÄN</t>
        </is>
      </c>
      <c r="E148" t="inlineStr">
        <is>
          <t>ÄNGELHOLM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4605-2025</t>
        </is>
      </c>
      <c r="B149" s="1" t="n">
        <v>45687.56328703704</v>
      </c>
      <c r="C149" s="1" t="n">
        <v>46101</v>
      </c>
      <c r="D149" t="inlineStr">
        <is>
          <t>SKÅNE LÄN</t>
        </is>
      </c>
      <c r="E149" t="inlineStr">
        <is>
          <t>ÄNGELHOLM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21488-2023</t>
        </is>
      </c>
      <c r="B150" s="1" t="n">
        <v>45061</v>
      </c>
      <c r="C150" s="1" t="n">
        <v>46101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31908-2023</t>
        </is>
      </c>
      <c r="B151" s="1" t="n">
        <v>45118</v>
      </c>
      <c r="C151" s="1" t="n">
        <v>46101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7811-2023</t>
        </is>
      </c>
      <c r="B152" s="1" t="n">
        <v>44973</v>
      </c>
      <c r="C152" s="1" t="n">
        <v>46101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16314-2024</t>
        </is>
      </c>
      <c r="B153" s="1" t="n">
        <v>45407</v>
      </c>
      <c r="C153" s="1" t="n">
        <v>46101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46613-2024</t>
        </is>
      </c>
      <c r="B154" s="1" t="n">
        <v>45583</v>
      </c>
      <c r="C154" s="1" t="n">
        <v>46101</v>
      </c>
      <c r="D154" t="inlineStr">
        <is>
          <t>SKÅNE LÄN</t>
        </is>
      </c>
      <c r="E154" t="inlineStr">
        <is>
          <t>ÄNGELHOLM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46101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20635-2024</t>
        </is>
      </c>
      <c r="B156" s="1" t="n">
        <v>45436</v>
      </c>
      <c r="C156" s="1" t="n">
        <v>46101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23980-2024</t>
        </is>
      </c>
      <c r="B157" s="1" t="n">
        <v>45456</v>
      </c>
      <c r="C157" s="1" t="n">
        <v>46101</v>
      </c>
      <c r="D157" t="inlineStr">
        <is>
          <t>SKÅNE LÄN</t>
        </is>
      </c>
      <c r="E157" t="inlineStr">
        <is>
          <t>ÄNGELHOLM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55748-2024</t>
        </is>
      </c>
      <c r="B158" s="1" t="n">
        <v>45623.3237962963</v>
      </c>
      <c r="C158" s="1" t="n">
        <v>46101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48197-2024</t>
        </is>
      </c>
      <c r="B159" s="1" t="n">
        <v>45590</v>
      </c>
      <c r="C159" s="1" t="n">
        <v>46101</v>
      </c>
      <c r="D159" t="inlineStr">
        <is>
          <t>SKÅNE LÄN</t>
        </is>
      </c>
      <c r="E159" t="inlineStr">
        <is>
          <t>ÄNGELHOLM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55529-2024</t>
        </is>
      </c>
      <c r="B160" s="1" t="n">
        <v>45622.48444444445</v>
      </c>
      <c r="C160" s="1" t="n">
        <v>46101</v>
      </c>
      <c r="D160" t="inlineStr">
        <is>
          <t>SKÅNE LÄN</t>
        </is>
      </c>
      <c r="E160" t="inlineStr">
        <is>
          <t>ÄNGELHOLM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32020-2025</t>
        </is>
      </c>
      <c r="B161" s="1" t="n">
        <v>45835.4065625</v>
      </c>
      <c r="C161" s="1" t="n">
        <v>46101</v>
      </c>
      <c r="D161" t="inlineStr">
        <is>
          <t>SKÅNE LÄN</t>
        </is>
      </c>
      <c r="E161" t="inlineStr">
        <is>
          <t>ÄNGELHOLM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13662-2025</t>
        </is>
      </c>
      <c r="B162" s="1" t="n">
        <v>45736.77020833334</v>
      </c>
      <c r="C162" s="1" t="n">
        <v>46101</v>
      </c>
      <c r="D162" t="inlineStr">
        <is>
          <t>SKÅNE LÄN</t>
        </is>
      </c>
      <c r="E162" t="inlineStr">
        <is>
          <t>ÄNGELHOLM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2026-03-20T11:29:22Z</dcterms:created>
  <dcterms:modified xmlns:dcterms="http://purl.org/dc/terms/" xmlns:xsi="http://www.w3.org/2001/XMLSchema-instance" xsi:type="dcterms:W3CDTF">2026-03-20T11:29:22Z</dcterms:modified>
</cp:coreProperties>
</file>