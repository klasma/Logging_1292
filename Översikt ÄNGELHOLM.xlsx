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46260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46260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46260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46260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46260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46260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46260</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46260</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46260</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46260</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46260</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3317-2026</t>
        </is>
      </c>
      <c r="B21" t="inlineStr">
        <is>
          <t>avverkningsanmälan</t>
        </is>
      </c>
      <c r="C21" t="inlineStr">
        <is>
          <t>Föryngringsavverkning</t>
        </is>
      </c>
      <c r="D21" s="1" t="n">
        <v>46041</v>
      </c>
      <c r="E21" s="1" t="n">
        <v>46260</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31907-2023</t>
        </is>
      </c>
      <c r="B22" t="inlineStr">
        <is>
          <t>avverkningsanmälan</t>
        </is>
      </c>
      <c r="C22" t="inlineStr">
        <is>
          <t>Föryngringsavverkning</t>
        </is>
      </c>
      <c r="D22" s="1" t="n">
        <v>45118</v>
      </c>
      <c r="E22" s="1" t="n">
        <v>46260</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46260</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46260</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46260</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46260</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46260</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46260</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46260</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46260</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46260</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46260</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46260</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46260</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46260</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46260</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46260</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27094-2026</t>
        </is>
      </c>
      <c r="B38" t="inlineStr">
        <is>
          <t>avverkningsanmälan</t>
        </is>
      </c>
      <c r="C38" t="inlineStr">
        <is>
          <t>Föryngringsavverkning</t>
        </is>
      </c>
      <c r="D38" s="1" t="n">
        <v>46188</v>
      </c>
      <c r="E38" s="1" t="n">
        <v>46260</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t="n">
        <v>0</v>
      </c>
      <c r="V38" s="2" t="inlineStr">
        <is>
          <t>Västlig hakmossa</t>
        </is>
      </c>
      <c r="W38">
        <f>HYPERLINK("https://klasma.github.io/Logging_1292/artfynd/A 27094-2026 artfynd.xlsx", "A 27094-2026")</f>
        <v/>
      </c>
      <c r="X38">
        <f>HYPERLINK("https://klasma.github.io/Logging_1292/kartor/A 27094-2026 karta.png", "A 27094-2026")</f>
        <v/>
      </c>
      <c r="Y38">
        <f>HYPERLINK("https://klasma.github.io/Logging_1292/kartor_geotiff/A 27094-2026 georefererad karta.tif", "A 27094-2026")</f>
        <v/>
      </c>
      <c r="AA38">
        <f>HYPERLINK("https://klasma.github.io/Logging_1292/klagomål/A 27094-2026 FSC-klagomål.docx", "A 27094-2026")</f>
        <v/>
      </c>
      <c r="AB38">
        <f>HYPERLINK("https://klasma.github.io/Logging_1292/klagomålsmail/A 27094-2026 FSC-klagomål mail.docx", "A 27094-2026")</f>
        <v/>
      </c>
      <c r="AC38">
        <f>HYPERLINK("https://klasma.github.io/Logging_1292/tillsyn/A 27094-2026 tillsynsbegäran.docx", "A 27094-2026")</f>
        <v/>
      </c>
      <c r="AD38">
        <f>HYPERLINK("https://klasma.github.io/Logging_1292/tillsynsmail/A 27094-2026 tillsynsbegäran mail.docx", "A 27094-2026")</f>
        <v/>
      </c>
    </row>
    <row r="39" ht="15" customHeight="1">
      <c r="A39" t="inlineStr">
        <is>
          <t>A 61094-2021</t>
        </is>
      </c>
      <c r="B39" t="inlineStr">
        <is>
          <t>avverkningsanmälan</t>
        </is>
      </c>
      <c r="C39" t="inlineStr">
        <is>
          <t>Föryngringsavverkning</t>
        </is>
      </c>
      <c r="D39" s="1" t="n">
        <v>44498</v>
      </c>
      <c r="E39" s="1" t="n">
        <v>46260</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46260</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31599-2026</t>
        </is>
      </c>
      <c r="B41" t="inlineStr">
        <is>
          <t>avverkningsanmälan</t>
        </is>
      </c>
      <c r="C41" t="inlineStr">
        <is>
          <t>Föryngringsavverkning</t>
        </is>
      </c>
      <c r="D41" s="1" t="n">
        <v>46224</v>
      </c>
      <c r="E41" s="1" t="n">
        <v>46260</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46260</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46260</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46260</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46260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46260</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46260</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46260</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46260</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46260</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46260</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46260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46260</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46260</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46260</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46260</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46260</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46260</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46260</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46260</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46260</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46260</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46260</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46260</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46260</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40287-2025</t>
        </is>
      </c>
      <c r="B66" t="inlineStr">
        <is>
          <t>avverkningsanmälan</t>
        </is>
      </c>
      <c r="C66" t="inlineStr">
        <is>
          <t>Föryngringsavverkning</t>
        </is>
      </c>
      <c r="D66" s="1" t="n">
        <v>45895</v>
      </c>
      <c r="E66" s="1" t="n">
        <v>46260</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55529-2024</t>
        </is>
      </c>
      <c r="B67" t="inlineStr">
        <is>
          <t>avverkningsanmälan</t>
        </is>
      </c>
      <c r="C67" t="inlineStr">
        <is>
          <t>Föryngringsavverkning</t>
        </is>
      </c>
      <c r="D67" s="1" t="n">
        <v>45622</v>
      </c>
      <c r="E67" s="1" t="n">
        <v>46260</v>
      </c>
      <c r="F67" t="inlineStr">
        <is>
          <t>SKÅNE LÄN</t>
        </is>
      </c>
      <c r="G67" t="inlineStr">
        <is>
          <t>ÄNGELHOLM</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8139-2025</t>
        </is>
      </c>
      <c r="B68" t="inlineStr">
        <is>
          <t>avverkningsanmälan</t>
        </is>
      </c>
      <c r="C68" t="inlineStr">
        <is>
          <t>Föryngringsavverkning</t>
        </is>
      </c>
      <c r="D68" s="1" t="n">
        <v>45708</v>
      </c>
      <c r="E68" s="1" t="n">
        <v>46260</v>
      </c>
      <c r="F68" t="inlineStr">
        <is>
          <t>SKÅNE LÄN</t>
        </is>
      </c>
      <c r="G68" t="inlineStr">
        <is>
          <t>ÄNGELHOLM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9055-2026</t>
        </is>
      </c>
      <c r="B69" t="inlineStr">
        <is>
          <t>avverkningsanmälan</t>
        </is>
      </c>
      <c r="C69" t="inlineStr">
        <is>
          <t>Föryngringsavverkning</t>
        </is>
      </c>
      <c r="D69" s="1" t="n">
        <v>46069</v>
      </c>
      <c r="E69" s="1" t="n">
        <v>46260</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46260</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44448-2023</t>
        </is>
      </c>
      <c r="B71" t="inlineStr">
        <is>
          <t>avverkningsanmälan</t>
        </is>
      </c>
      <c r="C71" t="inlineStr">
        <is>
          <t>Föryngringsavverkning</t>
        </is>
      </c>
      <c r="D71" s="1" t="n">
        <v>45189</v>
      </c>
      <c r="E71" s="1" t="n">
        <v>46260</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31143-2024</t>
        </is>
      </c>
      <c r="B72" t="inlineStr">
        <is>
          <t>avverkningsanmälan</t>
        </is>
      </c>
      <c r="C72" t="inlineStr">
        <is>
          <t>Avverkning för annat ändamål</t>
        </is>
      </c>
      <c r="D72" s="1" t="n">
        <v>45502</v>
      </c>
      <c r="E72" s="1" t="n">
        <v>46260</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23328-2022</t>
        </is>
      </c>
      <c r="B73" t="inlineStr">
        <is>
          <t>avverkningsanmälan</t>
        </is>
      </c>
      <c r="C73" t="inlineStr">
        <is>
          <t>Föryngringsavverkning</t>
        </is>
      </c>
      <c r="D73" s="1" t="n">
        <v>44720</v>
      </c>
      <c r="E73" s="1" t="n">
        <v>46260</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15154-2023</t>
        </is>
      </c>
      <c r="B74" t="inlineStr">
        <is>
          <t>avverkningsanmälan</t>
        </is>
      </c>
      <c r="C74" t="inlineStr">
        <is>
          <t>Föryngringsavverkning</t>
        </is>
      </c>
      <c r="D74" s="1" t="n">
        <v>45016</v>
      </c>
      <c r="E74" s="1" t="n">
        <v>46260</v>
      </c>
      <c r="F74" t="inlineStr">
        <is>
          <t>SKÅNE LÄN</t>
        </is>
      </c>
      <c r="G74" t="inlineStr">
        <is>
          <t>ÄNGELHOLM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46286-2024</t>
        </is>
      </c>
      <c r="B75" t="inlineStr">
        <is>
          <t>avverkningsanmälan</t>
        </is>
      </c>
      <c r="C75" t="inlineStr">
        <is>
          <t>Föryngringsavverkning</t>
        </is>
      </c>
      <c r="D75" s="1" t="n">
        <v>45581</v>
      </c>
      <c r="E75" s="1" t="n">
        <v>46260</v>
      </c>
      <c r="F75" t="inlineStr">
        <is>
          <t>SKÅNE LÄN</t>
        </is>
      </c>
      <c r="G75" t="inlineStr">
        <is>
          <t>ÄNGELHOLM</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46260</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7337-2024</t>
        </is>
      </c>
      <c r="B77" t="inlineStr">
        <is>
          <t>avverkningsanmälan</t>
        </is>
      </c>
      <c r="C77" t="inlineStr">
        <is>
          <t>Föryngringsavverkning</t>
        </is>
      </c>
      <c r="D77" s="1" t="n">
        <v>45345</v>
      </c>
      <c r="E77" s="1" t="n">
        <v>46260</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49610-2024</t>
        </is>
      </c>
      <c r="B78" t="inlineStr">
        <is>
          <t>avverkningsanmälan</t>
        </is>
      </c>
      <c r="C78" t="inlineStr">
        <is>
          <t>Föryngringsavverkning</t>
        </is>
      </c>
      <c r="D78" s="1" t="n">
        <v>45596</v>
      </c>
      <c r="E78" s="1" t="n">
        <v>46260</v>
      </c>
      <c r="F78" t="inlineStr">
        <is>
          <t>SKÅNE LÄN</t>
        </is>
      </c>
      <c r="G78" t="inlineStr">
        <is>
          <t>ÄNGELHOLM</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13243-2025</t>
        </is>
      </c>
      <c r="B79" t="inlineStr">
        <is>
          <t>avverkningsanmälan</t>
        </is>
      </c>
      <c r="C79" t="inlineStr">
        <is>
          <t>Föryngringsavverkning</t>
        </is>
      </c>
      <c r="D79" s="1" t="n">
        <v>45735</v>
      </c>
      <c r="E79" s="1" t="n">
        <v>46260</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9803-2026</t>
        </is>
      </c>
      <c r="B80" t="inlineStr">
        <is>
          <t>avverkningsanmälan</t>
        </is>
      </c>
      <c r="C80" t="inlineStr">
        <is>
          <t>Föryngringsavverkning</t>
        </is>
      </c>
      <c r="D80" s="1" t="n">
        <v>46072</v>
      </c>
      <c r="E80" s="1" t="n">
        <v>46260</v>
      </c>
      <c r="F80" t="inlineStr">
        <is>
          <t>SKÅNE LÄN</t>
        </is>
      </c>
      <c r="G80" t="inlineStr">
        <is>
          <t>ÄNGELHOLM</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52519-2025</t>
        </is>
      </c>
      <c r="B81" t="inlineStr">
        <is>
          <t>avverkningsanmälan</t>
        </is>
      </c>
      <c r="C81" t="inlineStr">
        <is>
          <t>Föryngringsavverkning</t>
        </is>
      </c>
      <c r="D81" s="1" t="n">
        <v>45954</v>
      </c>
      <c r="E81" s="1" t="n">
        <v>46260</v>
      </c>
      <c r="F81" t="inlineStr">
        <is>
          <t>SKÅNE LÄN</t>
        </is>
      </c>
      <c r="G81" t="inlineStr">
        <is>
          <t>ÄNGELHOLM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7811-2023</t>
        </is>
      </c>
      <c r="B82" t="inlineStr">
        <is>
          <t>avverkningsanmälan</t>
        </is>
      </c>
      <c r="C82" t="inlineStr">
        <is>
          <t>Föryngringsavverkning</t>
        </is>
      </c>
      <c r="D82" s="1" t="n">
        <v>44973</v>
      </c>
      <c r="E82" s="1" t="n">
        <v>46260</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58137-2022</t>
        </is>
      </c>
      <c r="B83" t="inlineStr">
        <is>
          <t>avverkningsanmälan</t>
        </is>
      </c>
      <c r="C83" t="inlineStr">
        <is>
          <t>Föryngringsavverkning</t>
        </is>
      </c>
      <c r="D83" s="1" t="n">
        <v>44900</v>
      </c>
      <c r="E83" s="1" t="n">
        <v>46260</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7707-2025</t>
        </is>
      </c>
      <c r="B84" t="inlineStr">
        <is>
          <t>avverkningsanmälan</t>
        </is>
      </c>
      <c r="C84" t="inlineStr">
        <is>
          <t>Föryngringsavverkning</t>
        </is>
      </c>
      <c r="D84" s="1" t="n">
        <v>45705</v>
      </c>
      <c r="E84" s="1" t="n">
        <v>46260</v>
      </c>
      <c r="F84" t="inlineStr">
        <is>
          <t>SKÅNE LÄN</t>
        </is>
      </c>
      <c r="G84" t="inlineStr">
        <is>
          <t>ÄNGELHOLM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19650-2026</t>
        </is>
      </c>
      <c r="B85" t="inlineStr">
        <is>
          <t>avverkningsanmälan</t>
        </is>
      </c>
      <c r="C85" t="inlineStr">
        <is>
          <t>Föryngringsavverkning</t>
        </is>
      </c>
      <c r="D85" s="1" t="n">
        <v>46134</v>
      </c>
      <c r="E85" s="1" t="n">
        <v>46260</v>
      </c>
      <c r="F85" t="inlineStr">
        <is>
          <t>SKÅNE LÄN</t>
        </is>
      </c>
      <c r="G85" t="inlineStr">
        <is>
          <t>ÄNGELHOLM</t>
        </is>
      </c>
      <c r="I85" t="n">
        <v>8</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46260</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42105-2022</t>
        </is>
      </c>
      <c r="B87" t="inlineStr">
        <is>
          <t>avverkningsanmälan</t>
        </is>
      </c>
      <c r="C87" t="inlineStr">
        <is>
          <t>Föryngringsavverkning</t>
        </is>
      </c>
      <c r="D87" s="1" t="n">
        <v>44830</v>
      </c>
      <c r="E87" s="1" t="n">
        <v>46260</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50652-2023</t>
        </is>
      </c>
      <c r="B88" t="inlineStr">
        <is>
          <t>avverkningsanmälan</t>
        </is>
      </c>
      <c r="C88" t="inlineStr">
        <is>
          <t>Föryngringsavverkning</t>
        </is>
      </c>
      <c r="D88" s="1" t="n">
        <v>45210</v>
      </c>
      <c r="E88" s="1" t="n">
        <v>46260</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24855-2024</t>
        </is>
      </c>
      <c r="B89" t="inlineStr">
        <is>
          <t>avverkningsanmälan</t>
        </is>
      </c>
      <c r="C89" t="inlineStr">
        <is>
          <t>Föryngringsavverkning</t>
        </is>
      </c>
      <c r="D89" s="1" t="n">
        <v>45461</v>
      </c>
      <c r="E89" s="1" t="n">
        <v>46260</v>
      </c>
      <c r="F89" t="inlineStr">
        <is>
          <t>SKÅNE LÄN</t>
        </is>
      </c>
      <c r="G89" t="inlineStr">
        <is>
          <t>ÄNGELHOLM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58134-2022</t>
        </is>
      </c>
      <c r="B90" t="inlineStr">
        <is>
          <t>avverkningsanmälan</t>
        </is>
      </c>
      <c r="C90" t="inlineStr">
        <is>
          <t>Föryngringsavverkning</t>
        </is>
      </c>
      <c r="D90" s="1" t="n">
        <v>44900</v>
      </c>
      <c r="E90" s="1" t="n">
        <v>46260</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57725-2025</t>
        </is>
      </c>
      <c r="B91" t="inlineStr">
        <is>
          <t>avverkningsanmälan</t>
        </is>
      </c>
      <c r="C91" t="inlineStr">
        <is>
          <t>Föryngringsavverkning</t>
        </is>
      </c>
      <c r="D91" s="1" t="n">
        <v>45981</v>
      </c>
      <c r="E91" s="1" t="n">
        <v>46260</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74214-2021</t>
        </is>
      </c>
      <c r="B92" t="inlineStr">
        <is>
          <t>avverkningsanmälan</t>
        </is>
      </c>
      <c r="C92" t="inlineStr">
        <is>
          <t>Föryngringsavverkning</t>
        </is>
      </c>
      <c r="D92" s="1" t="n">
        <v>44553</v>
      </c>
      <c r="E92" s="1" t="n">
        <v>46260</v>
      </c>
      <c r="F92" t="inlineStr">
        <is>
          <t>SKÅNE LÄN</t>
        </is>
      </c>
      <c r="G92" t="inlineStr">
        <is>
          <t>ÄNGELHOLM</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4755-2024</t>
        </is>
      </c>
      <c r="B93" t="inlineStr">
        <is>
          <t>avverkningsanmälan</t>
        </is>
      </c>
      <c r="C93" t="inlineStr">
        <is>
          <t>Föryngringsavverkning</t>
        </is>
      </c>
      <c r="D93" s="1" t="n">
        <v>45328</v>
      </c>
      <c r="E93" s="1" t="n">
        <v>46260</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14400-2023</t>
        </is>
      </c>
      <c r="B94" t="inlineStr">
        <is>
          <t>avverkningsanmälan</t>
        </is>
      </c>
      <c r="C94" t="inlineStr">
        <is>
          <t>Föryngringsavverkning</t>
        </is>
      </c>
      <c r="D94" s="1" t="n">
        <v>45012</v>
      </c>
      <c r="E94" s="1" t="n">
        <v>46260</v>
      </c>
      <c r="F94" t="inlineStr">
        <is>
          <t>SKÅNE LÄN</t>
        </is>
      </c>
      <c r="G94" t="inlineStr">
        <is>
          <t>ÄNGELHOLM</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32020-2025</t>
        </is>
      </c>
      <c r="B95" t="inlineStr">
        <is>
          <t>avverkningsanmälan</t>
        </is>
      </c>
      <c r="C95" t="inlineStr">
        <is>
          <t>Föryngringsavverkning</t>
        </is>
      </c>
      <c r="D95" s="1" t="n">
        <v>45835</v>
      </c>
      <c r="E95" s="1" t="n">
        <v>46260</v>
      </c>
      <c r="F95" t="inlineStr">
        <is>
          <t>SKÅNE LÄN</t>
        </is>
      </c>
      <c r="G95" t="inlineStr">
        <is>
          <t>ÄNGELHOLM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23227-2023</t>
        </is>
      </c>
      <c r="B96" t="inlineStr">
        <is>
          <t>avverkningsanmälan</t>
        </is>
      </c>
      <c r="C96" t="inlineStr">
        <is>
          <t>Föryngringsavverkning</t>
        </is>
      </c>
      <c r="D96" s="1" t="n">
        <v>45075</v>
      </c>
      <c r="E96" s="1" t="n">
        <v>46260</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9578-2025</t>
        </is>
      </c>
      <c r="B97" t="inlineStr">
        <is>
          <t>avverkningsanmälan</t>
        </is>
      </c>
      <c r="C97" t="inlineStr">
        <is>
          <t>Föryngringsavverkning</t>
        </is>
      </c>
      <c r="D97" s="1" t="n">
        <v>45715</v>
      </c>
      <c r="E97" s="1" t="n">
        <v>46260</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8882-2025</t>
        </is>
      </c>
      <c r="B98" t="inlineStr">
        <is>
          <t>avverkningsanmälan</t>
        </is>
      </c>
      <c r="C98" t="inlineStr">
        <is>
          <t>Föryngringsavverkning</t>
        </is>
      </c>
      <c r="D98" s="1" t="n">
        <v>45713</v>
      </c>
      <c r="E98" s="1" t="n">
        <v>46260</v>
      </c>
      <c r="F98" t="inlineStr">
        <is>
          <t>SKÅNE LÄN</t>
        </is>
      </c>
      <c r="G98" t="inlineStr">
        <is>
          <t>ÄNGELHOLM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46260</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18571-2025</t>
        </is>
      </c>
      <c r="B100" t="inlineStr">
        <is>
          <t>avverkningsanmälan</t>
        </is>
      </c>
      <c r="C100" t="inlineStr">
        <is>
          <t>Föryngringsavverkning</t>
        </is>
      </c>
      <c r="D100" s="1" t="n">
        <v>45763</v>
      </c>
      <c r="E100" s="1" t="n">
        <v>46260</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16419-2023</t>
        </is>
      </c>
      <c r="B101" t="inlineStr">
        <is>
          <t>avverkningsanmälan</t>
        </is>
      </c>
      <c r="C101" t="inlineStr">
        <is>
          <t>Föryngringsavverkning</t>
        </is>
      </c>
      <c r="D101" s="1" t="n">
        <v>45022</v>
      </c>
      <c r="E101" s="1" t="n">
        <v>46260</v>
      </c>
      <c r="F101" t="inlineStr">
        <is>
          <t>SKÅNE LÄN</t>
        </is>
      </c>
      <c r="G101" t="inlineStr">
        <is>
          <t>ÄNGELHOLM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27551-2023</t>
        </is>
      </c>
      <c r="B102" t="inlineStr">
        <is>
          <t>avverkningsanmälan</t>
        </is>
      </c>
      <c r="C102" t="inlineStr">
        <is>
          <t>Föryngringsavverkning</t>
        </is>
      </c>
      <c r="D102" s="1" t="n">
        <v>45097</v>
      </c>
      <c r="E102" s="1" t="n">
        <v>46260</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46260</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4089-2024</t>
        </is>
      </c>
      <c r="B104" t="inlineStr">
        <is>
          <t>avverkningsanmälan</t>
        </is>
      </c>
      <c r="C104" t="inlineStr">
        <is>
          <t>Föryngringsavverkning</t>
        </is>
      </c>
      <c r="D104" s="1" t="n">
        <v>45323</v>
      </c>
      <c r="E104" s="1" t="n">
        <v>46260</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43857-2025</t>
        </is>
      </c>
      <c r="B105" t="inlineStr">
        <is>
          <t>avverkningsanmälan</t>
        </is>
      </c>
      <c r="C105" t="inlineStr">
        <is>
          <t>Föryngringsavverkning</t>
        </is>
      </c>
      <c r="D105" s="1" t="n">
        <v>45912</v>
      </c>
      <c r="E105" s="1" t="n">
        <v>46260</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60227-2025</t>
        </is>
      </c>
      <c r="B106" t="inlineStr">
        <is>
          <t>avverkningsanmälan</t>
        </is>
      </c>
      <c r="C106" t="inlineStr">
        <is>
          <t>Föryngringsavverkning</t>
        </is>
      </c>
      <c r="D106" s="1" t="n">
        <v>45994</v>
      </c>
      <c r="E106" s="1" t="n">
        <v>46260</v>
      </c>
      <c r="F106" t="inlineStr">
        <is>
          <t>SKÅNE LÄN</t>
        </is>
      </c>
      <c r="G106" t="inlineStr">
        <is>
          <t>ÄNGELHOLM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28496-2023</t>
        </is>
      </c>
      <c r="B107" t="inlineStr">
        <is>
          <t>avverkningsanmälan</t>
        </is>
      </c>
      <c r="C107" t="inlineStr">
        <is>
          <t>Föryngringsavverkning</t>
        </is>
      </c>
      <c r="D107" s="1" t="n">
        <v>45103</v>
      </c>
      <c r="E107" s="1" t="n">
        <v>46260</v>
      </c>
      <c r="F107" t="inlineStr">
        <is>
          <t>SKÅNE LÄN</t>
        </is>
      </c>
      <c r="G107" t="inlineStr">
        <is>
          <t>ÄNGELHOLM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1299-2024</t>
        </is>
      </c>
      <c r="B108" t="inlineStr">
        <is>
          <t>avverkningsanmälan</t>
        </is>
      </c>
      <c r="C108" t="inlineStr">
        <is>
          <t>Föryngringsavverkning</t>
        </is>
      </c>
      <c r="D108" s="1" t="n">
        <v>45303</v>
      </c>
      <c r="E108" s="1" t="n">
        <v>46260</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32364-2023</t>
        </is>
      </c>
      <c r="B109" t="inlineStr">
        <is>
          <t>avverkningsanmälan</t>
        </is>
      </c>
      <c r="C109" t="inlineStr">
        <is>
          <t>Föryngringsavverkning</t>
        </is>
      </c>
      <c r="D109" s="1" t="n">
        <v>45120</v>
      </c>
      <c r="E109" s="1" t="n">
        <v>46260</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13278-2026</t>
        </is>
      </c>
      <c r="B110" t="inlineStr">
        <is>
          <t>avverkningsanmälan</t>
        </is>
      </c>
      <c r="C110" t="inlineStr">
        <is>
          <t>Föryngringsavverkning</t>
        </is>
      </c>
      <c r="D110" s="1" t="n">
        <v>46093</v>
      </c>
      <c r="E110" s="1" t="n">
        <v>46260</v>
      </c>
      <c r="F110" t="inlineStr">
        <is>
          <t>SKÅNE LÄN</t>
        </is>
      </c>
      <c r="G110" t="inlineStr">
        <is>
          <t>ÄNGELHOLM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27097-2026</t>
        </is>
      </c>
      <c r="B111" t="inlineStr">
        <is>
          <t>avverkningsanmälan</t>
        </is>
      </c>
      <c r="C111" t="inlineStr">
        <is>
          <t>Föryngringsavverkning</t>
        </is>
      </c>
      <c r="D111" s="1" t="n">
        <v>46188</v>
      </c>
      <c r="E111" s="1" t="n">
        <v>46260</v>
      </c>
      <c r="F111" t="inlineStr">
        <is>
          <t>SKÅNE LÄN</t>
        </is>
      </c>
      <c r="G111" t="inlineStr">
        <is>
          <t>ÄNGELHOLM</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46260</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46260</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31908-2023</t>
        </is>
      </c>
      <c r="B114" t="inlineStr">
        <is>
          <t>avverkningsanmälan</t>
        </is>
      </c>
      <c r="C114" t="inlineStr">
        <is>
          <t>Föryngringsavverkning</t>
        </is>
      </c>
      <c r="D114" s="1" t="n">
        <v>45118</v>
      </c>
      <c r="E114" s="1" t="n">
        <v>46260</v>
      </c>
      <c r="F114" t="inlineStr">
        <is>
          <t>SKÅNE LÄN</t>
        </is>
      </c>
      <c r="G114" t="inlineStr">
        <is>
          <t>ÄNGELHOLM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31502-2023</t>
        </is>
      </c>
      <c r="B115" t="inlineStr">
        <is>
          <t>avverkningsanmälan</t>
        </is>
      </c>
      <c r="C115" t="inlineStr">
        <is>
          <t>Föryngringsavverkning</t>
        </is>
      </c>
      <c r="D115" s="1" t="n">
        <v>45115</v>
      </c>
      <c r="E115" s="1" t="n">
        <v>46260</v>
      </c>
      <c r="F115" t="inlineStr">
        <is>
          <t>SKÅNE LÄN</t>
        </is>
      </c>
      <c r="G115" t="inlineStr">
        <is>
          <t>ÄNGELHOLM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28253-2023</t>
        </is>
      </c>
      <c r="B116" t="inlineStr">
        <is>
          <t>avverkningsanmälan</t>
        </is>
      </c>
      <c r="C116" t="inlineStr">
        <is>
          <t>Föryngringsavverkning</t>
        </is>
      </c>
      <c r="D116" s="1" t="n">
        <v>45099</v>
      </c>
      <c r="E116" s="1" t="n">
        <v>46260</v>
      </c>
      <c r="F116" t="inlineStr">
        <is>
          <t>SKÅNE LÄN</t>
        </is>
      </c>
      <c r="G116" t="inlineStr">
        <is>
          <t>ÄNGELHOLM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21488-2023</t>
        </is>
      </c>
      <c r="B117" t="inlineStr">
        <is>
          <t>avverkningsanmälan</t>
        </is>
      </c>
      <c r="C117" t="inlineStr">
        <is>
          <t>Föryngringsavverkning</t>
        </is>
      </c>
      <c r="D117" s="1" t="n">
        <v>45061</v>
      </c>
      <c r="E117" s="1" t="n">
        <v>46260</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7994-2023</t>
        </is>
      </c>
      <c r="B118" t="inlineStr">
        <is>
          <t>avverkningsanmälan</t>
        </is>
      </c>
      <c r="C118" t="inlineStr">
        <is>
          <t>Föryngringsavverkning</t>
        </is>
      </c>
      <c r="D118" s="1" t="n">
        <v>44973</v>
      </c>
      <c r="E118" s="1" t="n">
        <v>46260</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27553-2023</t>
        </is>
      </c>
      <c r="B119" t="inlineStr">
        <is>
          <t>avverkningsanmälan</t>
        </is>
      </c>
      <c r="C119" t="inlineStr">
        <is>
          <t>Föryngringsavverkning</t>
        </is>
      </c>
      <c r="D119" s="1" t="n">
        <v>45097</v>
      </c>
      <c r="E119" s="1" t="n">
        <v>46260</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29369-2026</t>
        </is>
      </c>
      <c r="B120" t="inlineStr">
        <is>
          <t>avverkningsanmälan</t>
        </is>
      </c>
      <c r="C120" t="inlineStr">
        <is>
          <t>Föryngringsavverkning</t>
        </is>
      </c>
      <c r="D120" s="1" t="n">
        <v>46203</v>
      </c>
      <c r="E120" s="1" t="n">
        <v>46260</v>
      </c>
      <c r="F120" t="inlineStr">
        <is>
          <t>SKÅNE LÄN</t>
        </is>
      </c>
      <c r="G120" t="inlineStr">
        <is>
          <t>ÄNGELHOLM</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53501-2022</t>
        </is>
      </c>
      <c r="B121" t="inlineStr">
        <is>
          <t>avverkningsanmälan</t>
        </is>
      </c>
      <c r="C121" t="inlineStr">
        <is>
          <t>Föryngringsavverkning</t>
        </is>
      </c>
      <c r="D121" s="1" t="n">
        <v>44879</v>
      </c>
      <c r="E121" s="1" t="n">
        <v>46260</v>
      </c>
      <c r="F121" t="inlineStr">
        <is>
          <t>SKÅNE LÄN</t>
        </is>
      </c>
      <c r="G121" t="inlineStr">
        <is>
          <t>ÄNGELHOLM</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54709-2023</t>
        </is>
      </c>
      <c r="B122" t="inlineStr">
        <is>
          <t>avverkningsanmälan</t>
        </is>
      </c>
      <c r="C122" t="inlineStr">
        <is>
          <t>Föryngringsavverkning</t>
        </is>
      </c>
      <c r="D122" s="1" t="n">
        <v>45236</v>
      </c>
      <c r="E122" s="1" t="n">
        <v>46260</v>
      </c>
      <c r="F122" t="inlineStr">
        <is>
          <t>SKÅNE LÄN</t>
        </is>
      </c>
      <c r="G122" t="inlineStr">
        <is>
          <t>ÄNGELHOLM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12148-2024</t>
        </is>
      </c>
      <c r="B123" t="inlineStr">
        <is>
          <t>avverkningsanmälan</t>
        </is>
      </c>
      <c r="C123" t="inlineStr">
        <is>
          <t>Föryngringsavverkning</t>
        </is>
      </c>
      <c r="D123" s="1" t="n">
        <v>45377</v>
      </c>
      <c r="E123" s="1" t="n">
        <v>46260</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46260</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31576-2026</t>
        </is>
      </c>
      <c r="B125" t="inlineStr">
        <is>
          <t>avverkningsanmälan</t>
        </is>
      </c>
      <c r="C125" t="inlineStr">
        <is>
          <t>Föryngringsavverkning</t>
        </is>
      </c>
      <c r="D125" s="1" t="n">
        <v>46224</v>
      </c>
      <c r="E125" s="1" t="n">
        <v>46260</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4605-2025</t>
        </is>
      </c>
      <c r="B126" t="inlineStr">
        <is>
          <t>avverkningsanmälan</t>
        </is>
      </c>
      <c r="C126" t="inlineStr">
        <is>
          <t>Föryngringsavverkning</t>
        </is>
      </c>
      <c r="D126" s="1" t="n">
        <v>45687</v>
      </c>
      <c r="E126" s="1" t="n">
        <v>46260</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19255-2026</t>
        </is>
      </c>
      <c r="B127" t="inlineStr">
        <is>
          <t>avverkningsanmälan</t>
        </is>
      </c>
      <c r="C127" t="inlineStr">
        <is>
          <t>Föryngringsavverkning</t>
        </is>
      </c>
      <c r="D127" s="1" t="n">
        <v>46132</v>
      </c>
      <c r="E127" s="1" t="n">
        <v>46260</v>
      </c>
      <c r="F127" t="inlineStr">
        <is>
          <t>SKÅNE LÄN</t>
        </is>
      </c>
      <c r="G127" t="inlineStr">
        <is>
          <t>ÄNGELHOLM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19256-2026</t>
        </is>
      </c>
      <c r="B128" t="inlineStr">
        <is>
          <t>avverkningsanmälan</t>
        </is>
      </c>
      <c r="C128" t="inlineStr">
        <is>
          <t>Föryngringsavverkning</t>
        </is>
      </c>
      <c r="D128" s="1" t="n">
        <v>46132</v>
      </c>
      <c r="E128" s="1" t="n">
        <v>46260</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31720-2023</t>
        </is>
      </c>
      <c r="B129" t="inlineStr">
        <is>
          <t>avverkningsanmälan</t>
        </is>
      </c>
      <c r="C129" t="inlineStr">
        <is>
          <t>Föryngringsavverkning</t>
        </is>
      </c>
      <c r="D129" s="1" t="n">
        <v>45117</v>
      </c>
      <c r="E129" s="1" t="n">
        <v>46260</v>
      </c>
      <c r="F129" t="inlineStr">
        <is>
          <t>SKÅNE LÄN</t>
        </is>
      </c>
      <c r="G129" t="inlineStr">
        <is>
          <t>ÄNGELHOLM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26986-2026</t>
        </is>
      </c>
      <c r="B130" t="inlineStr">
        <is>
          <t>avverkningsanmälan</t>
        </is>
      </c>
      <c r="C130" t="inlineStr">
        <is>
          <t>Föryngringsavverkning</t>
        </is>
      </c>
      <c r="D130" s="1" t="n">
        <v>46185</v>
      </c>
      <c r="E130" s="1" t="n">
        <v>46260</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26978-2026</t>
        </is>
      </c>
      <c r="B131" t="inlineStr">
        <is>
          <t>avverkningsanmälan</t>
        </is>
      </c>
      <c r="C131" t="inlineStr">
        <is>
          <t>Föryngringsavverkning</t>
        </is>
      </c>
      <c r="D131" s="1" t="n">
        <v>46185</v>
      </c>
      <c r="E131" s="1" t="n">
        <v>46260</v>
      </c>
      <c r="F131" t="inlineStr">
        <is>
          <t>SKÅNE LÄN</t>
        </is>
      </c>
      <c r="G131" t="inlineStr">
        <is>
          <t>ÄNGELHOLM</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46260</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34514-2023</t>
        </is>
      </c>
      <c r="B133" t="inlineStr">
        <is>
          <t>avverkningsanmälan</t>
        </is>
      </c>
      <c r="C133" t="inlineStr">
        <is>
          <t>Föryngringsavverkning</t>
        </is>
      </c>
      <c r="D133" s="1" t="n">
        <v>45140</v>
      </c>
      <c r="E133" s="1" t="n">
        <v>46260</v>
      </c>
      <c r="F133" t="inlineStr">
        <is>
          <t>SKÅNE LÄN</t>
        </is>
      </c>
      <c r="G133" t="inlineStr">
        <is>
          <t>ÄNGELHOLM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46613-2024</t>
        </is>
      </c>
      <c r="B134" t="inlineStr">
        <is>
          <t>avverkningsanmälan</t>
        </is>
      </c>
      <c r="C134" t="inlineStr">
        <is>
          <t>Föryngringsavverkning</t>
        </is>
      </c>
      <c r="D134" s="1" t="n">
        <v>45583</v>
      </c>
      <c r="E134" s="1" t="n">
        <v>46260</v>
      </c>
      <c r="F134" t="inlineStr">
        <is>
          <t>SKÅNE LÄN</t>
        </is>
      </c>
      <c r="G134" t="inlineStr">
        <is>
          <t>ÄNGELHOLM</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23976-2024</t>
        </is>
      </c>
      <c r="B135" t="inlineStr">
        <is>
          <t>avverkningsanmälan</t>
        </is>
      </c>
      <c r="C135" t="inlineStr">
        <is>
          <t>Föryngringsavverkning</t>
        </is>
      </c>
      <c r="D135" s="1" t="n">
        <v>45456</v>
      </c>
      <c r="E135" s="1" t="n">
        <v>46260</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40278-2023</t>
        </is>
      </c>
      <c r="B136" t="inlineStr">
        <is>
          <t>avverkningsanmälan</t>
        </is>
      </c>
      <c r="C136" t="inlineStr">
        <is>
          <t>Föryngringsavverkning</t>
        </is>
      </c>
      <c r="D136" s="1" t="n">
        <v>45169</v>
      </c>
      <c r="E136" s="1" t="n">
        <v>46260</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7871-2025</t>
        </is>
      </c>
      <c r="B137" t="inlineStr">
        <is>
          <t>avverkningsanmälan</t>
        </is>
      </c>
      <c r="C137" t="inlineStr">
        <is>
          <t>Föryngringsavverkning</t>
        </is>
      </c>
      <c r="D137" s="1" t="n">
        <v>45706</v>
      </c>
      <c r="E137" s="1" t="n">
        <v>46260</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46260</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29436-2024</t>
        </is>
      </c>
      <c r="B139" t="inlineStr">
        <is>
          <t>avverkningsanmälan</t>
        </is>
      </c>
      <c r="C139" t="inlineStr">
        <is>
          <t>Föryngringsavverkning</t>
        </is>
      </c>
      <c r="D139" s="1" t="n">
        <v>45483</v>
      </c>
      <c r="E139" s="1" t="n">
        <v>46260</v>
      </c>
      <c r="F139" t="inlineStr">
        <is>
          <t>SKÅNE LÄN</t>
        </is>
      </c>
      <c r="G139" t="inlineStr">
        <is>
          <t>ÄNGELHOLM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46260</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46260</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46260</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46260</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46260</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46260</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46260</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46260</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46260</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46260</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46260</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46260</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46260</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46260</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46260</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46260</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46260</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46260</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46260</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46260</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46260</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46260</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2026-08-26T01:52:01Z</dcterms:created>
  <dcterms:modified xmlns:dcterms="http://purl.org/dc/terms/" xmlns:xsi="http://www.w3.org/2001/XMLSchema-instance" xsi:type="dcterms:W3CDTF">2026-08-26T01:52:01Z</dcterms:modified>
</cp:coreProperties>
</file>