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46097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46097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46097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46097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46097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46097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46097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46097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46097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46097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46097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46097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46097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46097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38752-2025</t>
        </is>
      </c>
      <c r="B20" s="1" t="n">
        <v>45887.39311342593</v>
      </c>
      <c r="C20" s="1" t="n">
        <v>46097</v>
      </c>
      <c r="D20" t="inlineStr">
        <is>
          <t>SKÅNE LÄN</t>
        </is>
      </c>
      <c r="E20" t="inlineStr">
        <is>
          <t>ÄNGELHOLM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HYPERLINK("https://klasma.github.io/Logging_1292/artfynd/A 38752-2025 artfynd.xlsx", "A 38752-2025")</f>
        <v/>
      </c>
      <c r="T20">
        <f>HYPERLINK("https://klasma.github.io/Logging_1292/kartor/A 38752-2025 karta.png", "A 38752-2025")</f>
        <v/>
      </c>
      <c r="V20">
        <f>HYPERLINK("https://klasma.github.io/Logging_1292/klagomål/A 38752-2025 FSC-klagomål.docx", "A 38752-2025")</f>
        <v/>
      </c>
      <c r="W20">
        <f>HYPERLINK("https://klasma.github.io/Logging_1292/klagomålsmail/A 38752-2025 FSC-klagomål mail.docx", "A 38752-2025")</f>
        <v/>
      </c>
      <c r="X20">
        <f>HYPERLINK("https://klasma.github.io/Logging_1292/tillsyn/A 38752-2025 tillsynsbegäran.docx", "A 38752-2025")</f>
        <v/>
      </c>
      <c r="Y20">
        <f>HYPERLINK("https://klasma.github.io/Logging_1292/tillsynsmail/A 38752-2025 tillsynsbegäran mail.docx", "A 38752-2025")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46097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46097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3317-2026</t>
        </is>
      </c>
      <c r="B23" s="1" t="n">
        <v>46041</v>
      </c>
      <c r="C23" s="1" t="n">
        <v>46097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3317-2026 artfynd.xlsx", "A 3317-2026")</f>
        <v/>
      </c>
      <c r="T23">
        <f>HYPERLINK("https://klasma.github.io/Logging_1292/kartor/A 3317-2026 karta.png", "A 3317-2026")</f>
        <v/>
      </c>
      <c r="V23">
        <f>HYPERLINK("https://klasma.github.io/Logging_1292/klagomål/A 3317-2026 FSC-klagomål.docx", "A 3317-2026")</f>
        <v/>
      </c>
      <c r="W23">
        <f>HYPERLINK("https://klasma.github.io/Logging_1292/klagomålsmail/A 3317-2026 FSC-klagomål mail.docx", "A 3317-2026")</f>
        <v/>
      </c>
      <c r="X23">
        <f>HYPERLINK("https://klasma.github.io/Logging_1292/tillsyn/A 3317-2026 tillsynsbegäran.docx", "A 3317-2026")</f>
        <v/>
      </c>
      <c r="Y23">
        <f>HYPERLINK("https://klasma.github.io/Logging_1292/tillsynsmail/A 3317-2026 tillsynsbegäran mail.docx", "A 3317-2026")</f>
        <v/>
      </c>
      <c r="Z23">
        <f>HYPERLINK("https://klasma.github.io/Logging_1292/fåglar/A 3317-2026 prioriterade fågelarter.docx", "A 3317-2026")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46097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41769-2022</t>
        </is>
      </c>
      <c r="B30" s="1" t="n">
        <v>44827</v>
      </c>
      <c r="C30" s="1" t="n">
        <v>46097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46097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46097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61263-2021</t>
        </is>
      </c>
      <c r="B33" s="1" t="n">
        <v>44498.5819212963</v>
      </c>
      <c r="C33" s="1" t="n">
        <v>46097</v>
      </c>
      <c r="D33" t="inlineStr">
        <is>
          <t>SKÅNE LÄN</t>
        </is>
      </c>
      <c r="E33" t="inlineStr">
        <is>
          <t>ÄNGELHOLM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61269-2021</t>
        </is>
      </c>
      <c r="B34" s="1" t="n">
        <v>44498.58678240741</v>
      </c>
      <c r="C34" s="1" t="n">
        <v>46097</v>
      </c>
      <c r="D34" t="inlineStr">
        <is>
          <t>SKÅNE LÄN</t>
        </is>
      </c>
      <c r="E34" t="inlineStr">
        <is>
          <t>ÄNGELHOLM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46097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46097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46097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46097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46097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46097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46097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46097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46097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9578-2025</t>
        </is>
      </c>
      <c r="B44" s="1" t="n">
        <v>45715.62634259259</v>
      </c>
      <c r="C44" s="1" t="n">
        <v>46097</v>
      </c>
      <c r="D44" t="inlineStr">
        <is>
          <t>SKÅNE LÄN</t>
        </is>
      </c>
      <c r="E44" t="inlineStr">
        <is>
          <t>ÄNGELHOLM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19503-2022</t>
        </is>
      </c>
      <c r="B45" s="1" t="n">
        <v>44693</v>
      </c>
      <c r="C45" s="1" t="n">
        <v>46097</v>
      </c>
      <c r="D45" t="inlineStr">
        <is>
          <t>SKÅNE LÄN</t>
        </is>
      </c>
      <c r="E45" t="inlineStr">
        <is>
          <t>ÄNGELHOLM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74214-2021</t>
        </is>
      </c>
      <c r="B46" s="1" t="n">
        <v>44553</v>
      </c>
      <c r="C46" s="1" t="n">
        <v>46097</v>
      </c>
      <c r="D46" t="inlineStr">
        <is>
          <t>SKÅNE LÄN</t>
        </is>
      </c>
      <c r="E46" t="inlineStr">
        <is>
          <t>ÄNGELHOLM</t>
        </is>
      </c>
      <c r="G46" t="n">
        <v>19.8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46097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29436-2024</t>
        </is>
      </c>
      <c r="B48" s="1" t="n">
        <v>45483.78387731482</v>
      </c>
      <c r="C48" s="1" t="n">
        <v>46097</v>
      </c>
      <c r="D48" t="inlineStr">
        <is>
          <t>SKÅNE LÄN</t>
        </is>
      </c>
      <c r="E48" t="inlineStr">
        <is>
          <t>ÄNGELHOLM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10454-2025</t>
        </is>
      </c>
      <c r="B49" s="1" t="n">
        <v>45720.7090625</v>
      </c>
      <c r="C49" s="1" t="n">
        <v>46097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46097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46702-2024</t>
        </is>
      </c>
      <c r="B51" s="1" t="n">
        <v>45583</v>
      </c>
      <c r="C51" s="1" t="n">
        <v>46097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12150-2024</t>
        </is>
      </c>
      <c r="B52" s="1" t="n">
        <v>45377</v>
      </c>
      <c r="C52" s="1" t="n">
        <v>46097</v>
      </c>
      <c r="D52" t="inlineStr">
        <is>
          <t>SKÅNE LÄN</t>
        </is>
      </c>
      <c r="E52" t="inlineStr">
        <is>
          <t>ÄNGELHOLM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12148-2024</t>
        </is>
      </c>
      <c r="B53" s="1" t="n">
        <v>45377</v>
      </c>
      <c r="C53" s="1" t="n">
        <v>46097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8882-2025</t>
        </is>
      </c>
      <c r="B54" s="1" t="n">
        <v>45713</v>
      </c>
      <c r="C54" s="1" t="n">
        <v>46097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13243-2025</t>
        </is>
      </c>
      <c r="B55" s="1" t="n">
        <v>45735</v>
      </c>
      <c r="C55" s="1" t="n">
        <v>46097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46097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308-2023</t>
        </is>
      </c>
      <c r="B57" s="1" t="n">
        <v>44929</v>
      </c>
      <c r="C57" s="1" t="n">
        <v>46097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13235-2025</t>
        </is>
      </c>
      <c r="B58" s="1" t="n">
        <v>45735</v>
      </c>
      <c r="C58" s="1" t="n">
        <v>46097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28264-2022</t>
        </is>
      </c>
      <c r="B59" s="1" t="n">
        <v>44746</v>
      </c>
      <c r="C59" s="1" t="n">
        <v>46097</v>
      </c>
      <c r="D59" t="inlineStr">
        <is>
          <t>SKÅNE LÄN</t>
        </is>
      </c>
      <c r="E59" t="inlineStr">
        <is>
          <t>ÄNGELHOLM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49206-2024</t>
        </is>
      </c>
      <c r="B60" s="1" t="n">
        <v>45595.36711805555</v>
      </c>
      <c r="C60" s="1" t="n">
        <v>46097</v>
      </c>
      <c r="D60" t="inlineStr">
        <is>
          <t>SKÅNE LÄN</t>
        </is>
      </c>
      <c r="E60" t="inlineStr">
        <is>
          <t>ÄNGELHOLM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58137-2022</t>
        </is>
      </c>
      <c r="B61" s="1" t="n">
        <v>44900.69418981481</v>
      </c>
      <c r="C61" s="1" t="n">
        <v>46097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31503-2023</t>
        </is>
      </c>
      <c r="B62" s="1" t="n">
        <v>45115</v>
      </c>
      <c r="C62" s="1" t="n">
        <v>46097</v>
      </c>
      <c r="D62" t="inlineStr">
        <is>
          <t>SKÅNE LÄN</t>
        </is>
      </c>
      <c r="E62" t="inlineStr">
        <is>
          <t>ÄNGELHOLM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46097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25129-2024</t>
        </is>
      </c>
      <c r="B64" s="1" t="n">
        <v>45462.46355324074</v>
      </c>
      <c r="C64" s="1" t="n">
        <v>46097</v>
      </c>
      <c r="D64" t="inlineStr">
        <is>
          <t>SKÅNE LÄN</t>
        </is>
      </c>
      <c r="E64" t="inlineStr">
        <is>
          <t>ÄNGELHOLM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2575-2024</t>
        </is>
      </c>
      <c r="B65" s="1" t="n">
        <v>45313.63804398148</v>
      </c>
      <c r="C65" s="1" t="n">
        <v>46097</v>
      </c>
      <c r="D65" t="inlineStr">
        <is>
          <t>SKÅNE LÄN</t>
        </is>
      </c>
      <c r="E65" t="inlineStr">
        <is>
          <t>ÄNGELHOLM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27544-2024</t>
        </is>
      </c>
      <c r="B66" s="1" t="n">
        <v>45474</v>
      </c>
      <c r="C66" s="1" t="n">
        <v>46097</v>
      </c>
      <c r="D66" t="inlineStr">
        <is>
          <t>SKÅNE LÄN</t>
        </is>
      </c>
      <c r="E66" t="inlineStr">
        <is>
          <t>ÄNGELHOLM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4088-2024</t>
        </is>
      </c>
      <c r="B67" s="1" t="n">
        <v>45323</v>
      </c>
      <c r="C67" s="1" t="n">
        <v>46097</v>
      </c>
      <c r="D67" t="inlineStr">
        <is>
          <t>SKÅNE LÄN</t>
        </is>
      </c>
      <c r="E67" t="inlineStr">
        <is>
          <t>ÄNGELHOLM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31502-2023</t>
        </is>
      </c>
      <c r="B68" s="1" t="n">
        <v>45115</v>
      </c>
      <c r="C68" s="1" t="n">
        <v>46097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61094-2021</t>
        </is>
      </c>
      <c r="B69" s="1" t="n">
        <v>44498</v>
      </c>
      <c r="C69" s="1" t="n">
        <v>46097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31720-2023</t>
        </is>
      </c>
      <c r="B70" s="1" t="n">
        <v>45117.89738425926</v>
      </c>
      <c r="C70" s="1" t="n">
        <v>46097</v>
      </c>
      <c r="D70" t="inlineStr">
        <is>
          <t>SKÅNE LÄN</t>
        </is>
      </c>
      <c r="E70" t="inlineStr">
        <is>
          <t>ÄNGELHOLM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25669-2024</t>
        </is>
      </c>
      <c r="B71" s="1" t="n">
        <v>45463.71800925926</v>
      </c>
      <c r="C71" s="1" t="n">
        <v>46097</v>
      </c>
      <c r="D71" t="inlineStr">
        <is>
          <t>SKÅNE LÄN</t>
        </is>
      </c>
      <c r="E71" t="inlineStr">
        <is>
          <t>ÄNGELHOLM</t>
        </is>
      </c>
      <c r="G71" t="n">
        <v>17.9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31907-2023</t>
        </is>
      </c>
      <c r="B72" s="1" t="n">
        <v>45118</v>
      </c>
      <c r="C72" s="1" t="n">
        <v>46097</v>
      </c>
      <c r="D72" t="inlineStr">
        <is>
          <t>SKÅNE LÄN</t>
        </is>
      </c>
      <c r="E72" t="inlineStr">
        <is>
          <t>ÄNGELHOLM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31143-2024</t>
        </is>
      </c>
      <c r="B73" s="1" t="n">
        <v>45502</v>
      </c>
      <c r="C73" s="1" t="n">
        <v>46097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607-2024</t>
        </is>
      </c>
      <c r="B74" s="1" t="n">
        <v>45299</v>
      </c>
      <c r="C74" s="1" t="n">
        <v>46097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46286-2024</t>
        </is>
      </c>
      <c r="B75" s="1" t="n">
        <v>45581</v>
      </c>
      <c r="C75" s="1" t="n">
        <v>46097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46097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58134-2022</t>
        </is>
      </c>
      <c r="B77" s="1" t="n">
        <v>44900.69137731481</v>
      </c>
      <c r="C77" s="1" t="n">
        <v>46097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46097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46097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46097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32364-2023</t>
        </is>
      </c>
      <c r="B81" s="1" t="n">
        <v>45120.56152777778</v>
      </c>
      <c r="C81" s="1" t="n">
        <v>46097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45456.30621527778</v>
      </c>
      <c r="C82" s="1" t="n">
        <v>46097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7994-2023</t>
        </is>
      </c>
      <c r="B83" s="1" t="n">
        <v>44973.77732638889</v>
      </c>
      <c r="C83" s="1" t="n">
        <v>46097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27553-2023</t>
        </is>
      </c>
      <c r="B84" s="1" t="n">
        <v>45097</v>
      </c>
      <c r="C84" s="1" t="n">
        <v>46097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8139-2025</t>
        </is>
      </c>
      <c r="B85" s="1" t="n">
        <v>45708.2620949074</v>
      </c>
      <c r="C85" s="1" t="n">
        <v>46097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40275-2023</t>
        </is>
      </c>
      <c r="B86" s="1" t="n">
        <v>45169</v>
      </c>
      <c r="C86" s="1" t="n">
        <v>46097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46097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8665-2022</t>
        </is>
      </c>
      <c r="B88" s="1" t="n">
        <v>44613</v>
      </c>
      <c r="C88" s="1" t="n">
        <v>46097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16419-2023</t>
        </is>
      </c>
      <c r="B89" s="1" t="n">
        <v>45022</v>
      </c>
      <c r="C89" s="1" t="n">
        <v>46097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18571-2025</t>
        </is>
      </c>
      <c r="B90" s="1" t="n">
        <v>45763</v>
      </c>
      <c r="C90" s="1" t="n">
        <v>46097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46097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31709-2023</t>
        </is>
      </c>
      <c r="B92" s="1" t="n">
        <v>45117</v>
      </c>
      <c r="C92" s="1" t="n">
        <v>46097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23227-2023</t>
        </is>
      </c>
      <c r="B93" s="1" t="n">
        <v>45075</v>
      </c>
      <c r="C93" s="1" t="n">
        <v>46097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34514-2023</t>
        </is>
      </c>
      <c r="B94" s="1" t="n">
        <v>45140.38099537037</v>
      </c>
      <c r="C94" s="1" t="n">
        <v>46097</v>
      </c>
      <c r="D94" t="inlineStr">
        <is>
          <t>SKÅNE LÄN</t>
        </is>
      </c>
      <c r="E94" t="inlineStr">
        <is>
          <t>ÄNGELHOLM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46097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32430-2023</t>
        </is>
      </c>
      <c r="B96" s="1" t="n">
        <v>45120</v>
      </c>
      <c r="C96" s="1" t="n">
        <v>46097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28496-2023</t>
        </is>
      </c>
      <c r="B97" s="1" t="n">
        <v>45103.45262731481</v>
      </c>
      <c r="C97" s="1" t="n">
        <v>46097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40278-2023</t>
        </is>
      </c>
      <c r="B98" s="1" t="n">
        <v>45169</v>
      </c>
      <c r="C98" s="1" t="n">
        <v>46097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4605-2025</t>
        </is>
      </c>
      <c r="B99" s="1" t="n">
        <v>45687.56328703704</v>
      </c>
      <c r="C99" s="1" t="n">
        <v>46097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21488-2023</t>
        </is>
      </c>
      <c r="B100" s="1" t="n">
        <v>45061</v>
      </c>
      <c r="C100" s="1" t="n">
        <v>46097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31908-2023</t>
        </is>
      </c>
      <c r="B101" s="1" t="n">
        <v>45118</v>
      </c>
      <c r="C101" s="1" t="n">
        <v>46097</v>
      </c>
      <c r="D101" t="inlineStr">
        <is>
          <t>SKÅNE LÄN</t>
        </is>
      </c>
      <c r="E101" t="inlineStr">
        <is>
          <t>ÄNGELHOLM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1299-2024</t>
        </is>
      </c>
      <c r="B102" s="1" t="n">
        <v>45303</v>
      </c>
      <c r="C102" s="1" t="n">
        <v>46097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24855-2024</t>
        </is>
      </c>
      <c r="B103" s="1" t="n">
        <v>45461.46796296296</v>
      </c>
      <c r="C103" s="1" t="n">
        <v>46097</v>
      </c>
      <c r="D103" t="inlineStr">
        <is>
          <t>SKÅNE LÄN</t>
        </is>
      </c>
      <c r="E103" t="inlineStr">
        <is>
          <t>ÄNGELHOLM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3565-2025</t>
        </is>
      </c>
      <c r="B104" s="1" t="n">
        <v>45680.68038194445</v>
      </c>
      <c r="C104" s="1" t="n">
        <v>46097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7811-2023</t>
        </is>
      </c>
      <c r="B105" s="1" t="n">
        <v>44973</v>
      </c>
      <c r="C105" s="1" t="n">
        <v>46097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5046-2022</t>
        </is>
      </c>
      <c r="B106" s="1" t="n">
        <v>44593.68116898148</v>
      </c>
      <c r="C106" s="1" t="n">
        <v>46097</v>
      </c>
      <c r="D106" t="inlineStr">
        <is>
          <t>SKÅNE LÄN</t>
        </is>
      </c>
      <c r="E106" t="inlineStr">
        <is>
          <t>ÄNGELHOLM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7707-2025</t>
        </is>
      </c>
      <c r="B107" s="1" t="n">
        <v>45705</v>
      </c>
      <c r="C107" s="1" t="n">
        <v>46097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7871-2025</t>
        </is>
      </c>
      <c r="B108" s="1" t="n">
        <v>45706</v>
      </c>
      <c r="C108" s="1" t="n">
        <v>46097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16314-2024</t>
        </is>
      </c>
      <c r="B109" s="1" t="n">
        <v>45407</v>
      </c>
      <c r="C109" s="1" t="n">
        <v>46097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31789-2023</t>
        </is>
      </c>
      <c r="B110" s="1" t="n">
        <v>45118</v>
      </c>
      <c r="C110" s="1" t="n">
        <v>46097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42105-2022</t>
        </is>
      </c>
      <c r="B111" s="1" t="n">
        <v>44830.55204861111</v>
      </c>
      <c r="C111" s="1" t="n">
        <v>46097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46613-2024</t>
        </is>
      </c>
      <c r="B112" s="1" t="n">
        <v>45583</v>
      </c>
      <c r="C112" s="1" t="n">
        <v>46097</v>
      </c>
      <c r="D112" t="inlineStr">
        <is>
          <t>SKÅNE LÄN</t>
        </is>
      </c>
      <c r="E112" t="inlineStr">
        <is>
          <t>ÄNGELHOLM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55529-2024</t>
        </is>
      </c>
      <c r="B113" s="1" t="n">
        <v>45622.48444444445</v>
      </c>
      <c r="C113" s="1" t="n">
        <v>46097</v>
      </c>
      <c r="D113" t="inlineStr">
        <is>
          <t>SKÅNE LÄN</t>
        </is>
      </c>
      <c r="E113" t="inlineStr">
        <is>
          <t>ÄNGELHOLM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20623-2025</t>
        </is>
      </c>
      <c r="B114" s="1" t="n">
        <v>45776.32377314815</v>
      </c>
      <c r="C114" s="1" t="n">
        <v>46097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46097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44062-2022</t>
        </is>
      </c>
      <c r="B116" s="1" t="n">
        <v>44839</v>
      </c>
      <c r="C116" s="1" t="n">
        <v>46097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46097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49885-2022</t>
        </is>
      </c>
      <c r="B118" s="1" t="n">
        <v>44864</v>
      </c>
      <c r="C118" s="1" t="n">
        <v>46097</v>
      </c>
      <c r="D118" t="inlineStr">
        <is>
          <t>SKÅNE LÄN</t>
        </is>
      </c>
      <c r="E118" t="inlineStr">
        <is>
          <t>ÄNGELHOLM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46097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19500-2022</t>
        </is>
      </c>
      <c r="B120" s="1" t="n">
        <v>44693.50188657407</v>
      </c>
      <c r="C120" s="1" t="n">
        <v>46097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23980-2024</t>
        </is>
      </c>
      <c r="B121" s="1" t="n">
        <v>45456</v>
      </c>
      <c r="C121" s="1" t="n">
        <v>46097</v>
      </c>
      <c r="D121" t="inlineStr">
        <is>
          <t>SKÅNE LÄN</t>
        </is>
      </c>
      <c r="E121" t="inlineStr">
        <is>
          <t>ÄNGELHOLM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55748-2024</t>
        </is>
      </c>
      <c r="B122" s="1" t="n">
        <v>45623.3237962963</v>
      </c>
      <c r="C122" s="1" t="n">
        <v>46097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46097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32020-2025</t>
        </is>
      </c>
      <c r="B124" s="1" t="n">
        <v>45835.4065625</v>
      </c>
      <c r="C124" s="1" t="n">
        <v>46097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46097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57923-2024</t>
        </is>
      </c>
      <c r="B126" s="1" t="n">
        <v>45631</v>
      </c>
      <c r="C126" s="1" t="n">
        <v>46097</v>
      </c>
      <c r="D126" t="inlineStr">
        <is>
          <t>SKÅNE LÄN</t>
        </is>
      </c>
      <c r="E126" t="inlineStr">
        <is>
          <t>ÄNGELHOLM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7337-2024</t>
        </is>
      </c>
      <c r="B127" s="1" t="n">
        <v>45345</v>
      </c>
      <c r="C127" s="1" t="n">
        <v>46097</v>
      </c>
      <c r="D127" t="inlineStr">
        <is>
          <t>SKÅNE LÄN</t>
        </is>
      </c>
      <c r="E127" t="inlineStr">
        <is>
          <t>ÄNGELHOLM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49610-2024</t>
        </is>
      </c>
      <c r="B128" s="1" t="n">
        <v>45596</v>
      </c>
      <c r="C128" s="1" t="n">
        <v>46097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13662-2025</t>
        </is>
      </c>
      <c r="B129" s="1" t="n">
        <v>45736.77020833334</v>
      </c>
      <c r="C129" s="1" t="n">
        <v>46097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38856-2025</t>
        </is>
      </c>
      <c r="B130" s="1" t="n">
        <v>45887</v>
      </c>
      <c r="C130" s="1" t="n">
        <v>46097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38848-2025</t>
        </is>
      </c>
      <c r="B131" s="1" t="n">
        <v>45887</v>
      </c>
      <c r="C131" s="1" t="n">
        <v>46097</v>
      </c>
      <c r="D131" t="inlineStr">
        <is>
          <t>SKÅNE LÄN</t>
        </is>
      </c>
      <c r="E131" t="inlineStr">
        <is>
          <t>ÄNGELHOLM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14400-2023</t>
        </is>
      </c>
      <c r="B132" s="1" t="n">
        <v>45012</v>
      </c>
      <c r="C132" s="1" t="n">
        <v>46097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4089-2024</t>
        </is>
      </c>
      <c r="B133" s="1" t="n">
        <v>45323</v>
      </c>
      <c r="C133" s="1" t="n">
        <v>46097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39810-2025</t>
        </is>
      </c>
      <c r="B134" s="1" t="n">
        <v>45891.5194675926</v>
      </c>
      <c r="C134" s="1" t="n">
        <v>46097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40287-2025</t>
        </is>
      </c>
      <c r="B135" s="1" t="n">
        <v>45895</v>
      </c>
      <c r="C135" s="1" t="n">
        <v>46097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41166-2025</t>
        </is>
      </c>
      <c r="B136" s="1" t="n">
        <v>45898</v>
      </c>
      <c r="C136" s="1" t="n">
        <v>46097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38028-2025</t>
        </is>
      </c>
      <c r="B137" s="1" t="n">
        <v>45882.3615625</v>
      </c>
      <c r="C137" s="1" t="n">
        <v>46097</v>
      </c>
      <c r="D137" t="inlineStr">
        <is>
          <t>SKÅNE LÄN</t>
        </is>
      </c>
      <c r="E137" t="inlineStr">
        <is>
          <t>ÄNGELHOLM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46097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42826-2025</t>
        </is>
      </c>
      <c r="B139" s="1" t="n">
        <v>45908.57619212963</v>
      </c>
      <c r="C139" s="1" t="n">
        <v>46097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60-2024</t>
        </is>
      </c>
      <c r="B140" s="1" t="n">
        <v>45293</v>
      </c>
      <c r="C140" s="1" t="n">
        <v>46097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46097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4755-2024</t>
        </is>
      </c>
      <c r="B142" s="1" t="n">
        <v>45328.66599537037</v>
      </c>
      <c r="C142" s="1" t="n">
        <v>46097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43857-2025</t>
        </is>
      </c>
      <c r="B143" s="1" t="n">
        <v>45912.64872685185</v>
      </c>
      <c r="C143" s="1" t="n">
        <v>46097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44012-2025</t>
        </is>
      </c>
      <c r="B144" s="1" t="n">
        <v>45915</v>
      </c>
      <c r="C144" s="1" t="n">
        <v>46097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46712-2025</t>
        </is>
      </c>
      <c r="B145" s="1" t="n">
        <v>45926.57591435185</v>
      </c>
      <c r="C145" s="1" t="n">
        <v>46097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47116-2025</t>
        </is>
      </c>
      <c r="B146" s="1" t="n">
        <v>45929.67606481481</v>
      </c>
      <c r="C146" s="1" t="n">
        <v>46097</v>
      </c>
      <c r="D146" t="inlineStr">
        <is>
          <t>SKÅNE LÄN</t>
        </is>
      </c>
      <c r="E146" t="inlineStr">
        <is>
          <t>ÄNGELHOLM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47176-2025</t>
        </is>
      </c>
      <c r="B147" s="1" t="n">
        <v>45930</v>
      </c>
      <c r="C147" s="1" t="n">
        <v>46097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52519-2025</t>
        </is>
      </c>
      <c r="B148" s="1" t="n">
        <v>45954.51563657408</v>
      </c>
      <c r="C148" s="1" t="n">
        <v>46097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55707-2025</t>
        </is>
      </c>
      <c r="B149" s="1" t="n">
        <v>45972</v>
      </c>
      <c r="C149" s="1" t="n">
        <v>46097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55728-2025</t>
        </is>
      </c>
      <c r="B150" s="1" t="n">
        <v>45972</v>
      </c>
      <c r="C150" s="1" t="n">
        <v>46097</v>
      </c>
      <c r="D150" t="inlineStr">
        <is>
          <t>SKÅNE LÄN</t>
        </is>
      </c>
      <c r="E150" t="inlineStr">
        <is>
          <t>ÄNGELHOLM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57725-2025</t>
        </is>
      </c>
      <c r="B151" s="1" t="n">
        <v>45981</v>
      </c>
      <c r="C151" s="1" t="n">
        <v>46097</v>
      </c>
      <c r="D151" t="inlineStr">
        <is>
          <t>SKÅNE LÄN</t>
        </is>
      </c>
      <c r="E151" t="inlineStr">
        <is>
          <t>ÄNGELHOLM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60227-2025</t>
        </is>
      </c>
      <c r="B152" s="1" t="n">
        <v>45994</v>
      </c>
      <c r="C152" s="1" t="n">
        <v>46097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7856-2026</t>
        </is>
      </c>
      <c r="B153" s="1" t="n">
        <v>46062.67539351852</v>
      </c>
      <c r="C153" s="1" t="n">
        <v>46097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7859-2026</t>
        </is>
      </c>
      <c r="B154" s="1" t="n">
        <v>46062.68539351852</v>
      </c>
      <c r="C154" s="1" t="n">
        <v>46097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9055-2026</t>
        </is>
      </c>
      <c r="B155" s="1" t="n">
        <v>46069.55903935185</v>
      </c>
      <c r="C155" s="1" t="n">
        <v>46097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9803-2026</t>
        </is>
      </c>
      <c r="B156" s="1" t="n">
        <v>46072</v>
      </c>
      <c r="C156" s="1" t="n">
        <v>46097</v>
      </c>
      <c r="D156" t="inlineStr">
        <is>
          <t>SKÅNE LÄN</t>
        </is>
      </c>
      <c r="E156" t="inlineStr">
        <is>
          <t>ÄNGELHOLM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2505-2026</t>
        </is>
      </c>
      <c r="B157" s="1" t="n">
        <v>46037.41112268518</v>
      </c>
      <c r="C157" s="1" t="n">
        <v>46097</v>
      </c>
      <c r="D157" t="inlineStr">
        <is>
          <t>SKÅNE LÄN</t>
        </is>
      </c>
      <c r="E157" t="inlineStr">
        <is>
          <t>ÄNGELHOLM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11384-2026</t>
        </is>
      </c>
      <c r="B158" s="1" t="n">
        <v>46083.41881944444</v>
      </c>
      <c r="C158" s="1" t="n">
        <v>46097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4977-2026</t>
        </is>
      </c>
      <c r="B159" s="1" t="n">
        <v>46047</v>
      </c>
      <c r="C159" s="1" t="n">
        <v>46097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12768-2026</t>
        </is>
      </c>
      <c r="B160" s="1" t="n">
        <v>46091.67167824074</v>
      </c>
      <c r="C160" s="1" t="n">
        <v>46097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13278-2026</t>
        </is>
      </c>
      <c r="B161" s="1" t="n">
        <v>46093.74434027778</v>
      </c>
      <c r="C161" s="1" t="n">
        <v>46097</v>
      </c>
      <c r="D161" t="inlineStr">
        <is>
          <t>SKÅNE LÄN</t>
        </is>
      </c>
      <c r="E161" t="inlineStr">
        <is>
          <t>ÄNGELHOLM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13277-2026</t>
        </is>
      </c>
      <c r="B162" s="1" t="n">
        <v>46093.74275462963</v>
      </c>
      <c r="C162" s="1" t="n">
        <v>46097</v>
      </c>
      <c r="D162" t="inlineStr">
        <is>
          <t>SKÅNE LÄN</t>
        </is>
      </c>
      <c r="E162" t="inlineStr">
        <is>
          <t>ÄNGELHOLM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2026-03-16T11:20:34Z</dcterms:created>
  <dcterms:modified xmlns:dcterms="http://purl.org/dc/terms/" xmlns:xsi="http://www.w3.org/2001/XMLSchema-instance" xsi:type="dcterms:W3CDTF">2026-03-16T11:20:34Z</dcterms:modified>
</cp:coreProperties>
</file>