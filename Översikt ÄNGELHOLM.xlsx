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46272</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46272</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46272</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46272</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46272</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46272</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46272</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46272</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46272</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46272</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46272</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46272</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46272</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46272</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46272</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46272</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46272</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50684-2023</t>
        </is>
      </c>
      <c r="B19" t="inlineStr">
        <is>
          <t>avverkningsanmälan</t>
        </is>
      </c>
      <c r="C19" t="inlineStr">
        <is>
          <t>Föryngringsavverkning</t>
        </is>
      </c>
      <c r="D19" s="1" t="n">
        <v>45210</v>
      </c>
      <c r="E19" s="1" t="n">
        <v>46272</v>
      </c>
      <c r="F19" t="inlineStr">
        <is>
          <t>SKÅNE LÄN</t>
        </is>
      </c>
      <c r="G19" t="inlineStr">
        <is>
          <t>ÄNGELHOLM</t>
        </is>
      </c>
      <c r="I19" t="n">
        <v>1.6</v>
      </c>
      <c r="J19" t="n">
        <v>2</v>
      </c>
      <c r="K19" t="n">
        <v>0</v>
      </c>
      <c r="L19" t="n">
        <v>0</v>
      </c>
      <c r="M19" t="n">
        <v>0</v>
      </c>
      <c r="N19" t="n">
        <v>1</v>
      </c>
      <c r="O19" t="n">
        <v>0</v>
      </c>
      <c r="P19" t="n">
        <v>0</v>
      </c>
      <c r="Q19" t="n">
        <v>1</v>
      </c>
      <c r="R19" t="n">
        <v>1</v>
      </c>
      <c r="S19" t="n">
        <v>3</v>
      </c>
      <c r="T19" t="n">
        <v>3</v>
      </c>
      <c r="U19" t="n">
        <v>0</v>
      </c>
      <c r="V19" s="2" t="inlineStr">
        <is>
          <t>Skogsalm
Kopparödla
Vanlig padda</t>
        </is>
      </c>
      <c r="W19">
        <f>HYPERLINK("https://klasma.github.io/Logging_1292/artfynd/A 50684-2023 artfynd.xlsx", "A 50684-2023")</f>
        <v/>
      </c>
      <c r="X19">
        <f>HYPERLINK("https://klasma.github.io/Logging_1292/kartor/A 50684-2023 karta.png", "A 50684-2023")</f>
        <v/>
      </c>
      <c r="Y19">
        <f>HYPERLINK("https://klasma.github.io/Logging_1292/kartor_geotiff/A 50684-2023 georefererad karta.tif", "A 50684-2023")</f>
        <v/>
      </c>
      <c r="AA19">
        <f>HYPERLINK("https://klasma.github.io/Logging_1292/klagomål/A 50684-2023 FSC-klagomål.docx", "A 50684-2023")</f>
        <v/>
      </c>
      <c r="AB19">
        <f>HYPERLINK("https://klasma.github.io/Logging_1292/klagomålsmail/A 50684-2023 FSC-klagomål mail.docx", "A 50684-2023")</f>
        <v/>
      </c>
      <c r="AC19">
        <f>HYPERLINK("https://klasma.github.io/Logging_1292/tillsyn/A 50684-2023 tillsynsbegäran.docx", "A 50684-2023")</f>
        <v/>
      </c>
      <c r="AD19">
        <f>HYPERLINK("https://klasma.github.io/Logging_1292/tillsynsmail/A 50684-2023 tillsynsbegäran mail.docx", "A 50684-2023")</f>
        <v/>
      </c>
    </row>
    <row r="20" ht="15" customHeight="1">
      <c r="A20" t="inlineStr">
        <is>
          <t>A 8065-2025</t>
        </is>
      </c>
      <c r="B20" t="inlineStr">
        <is>
          <t>avverkningsanmälan</t>
        </is>
      </c>
      <c r="C20" t="inlineStr">
        <is>
          <t>Föryngringsavverkning</t>
        </is>
      </c>
      <c r="D20" s="1" t="n">
        <v>45707</v>
      </c>
      <c r="E20" s="1" t="n">
        <v>46272</v>
      </c>
      <c r="F20" t="inlineStr">
        <is>
          <t>SKÅNE LÄN</t>
        </is>
      </c>
      <c r="G20" t="inlineStr">
        <is>
          <t>ÄNGELHOLM</t>
        </is>
      </c>
      <c r="I20" t="n">
        <v>3.3</v>
      </c>
      <c r="J20" t="n">
        <v>0</v>
      </c>
      <c r="K20" t="n">
        <v>0</v>
      </c>
      <c r="L20" t="n">
        <v>2</v>
      </c>
      <c r="M20" t="n">
        <v>1</v>
      </c>
      <c r="N20" t="n">
        <v>0</v>
      </c>
      <c r="O20" t="n">
        <v>0</v>
      </c>
      <c r="P20" t="n">
        <v>0</v>
      </c>
      <c r="Q20" t="n">
        <v>3</v>
      </c>
      <c r="R20" t="n">
        <v>1</v>
      </c>
      <c r="S20" t="n">
        <v>3</v>
      </c>
      <c r="T20" t="n">
        <v>3</v>
      </c>
      <c r="U20" t="n">
        <v>2</v>
      </c>
      <c r="V20" s="2" t="inlineStr">
        <is>
          <t>Småvänderot
Gullpudra
Svinrot</t>
        </is>
      </c>
      <c r="W20">
        <f>HYPERLINK("https://klasma.github.io/Logging_1292/artfynd/A 8065-2025 artfynd.xlsx", "A 8065-2025")</f>
        <v/>
      </c>
      <c r="X20">
        <f>HYPERLINK("https://klasma.github.io/Logging_1292/kartor/A 8065-2025 karta.png", "A 8065-2025")</f>
        <v/>
      </c>
      <c r="Y20">
        <f>HYPERLINK("https://klasma.github.io/Logging_1292/kartor_geotiff/A 8065-2025 georefererad karta.tif", "A 8065-2025")</f>
        <v/>
      </c>
      <c r="AA20">
        <f>HYPERLINK("https://klasma.github.io/Logging_1292/klagomål/A 8065-2025 FSC-klagomål.docx", "A 8065-2025")</f>
        <v/>
      </c>
      <c r="AB20">
        <f>HYPERLINK("https://klasma.github.io/Logging_1292/klagomålsmail/A 8065-2025 FSC-klagomål mail.docx", "A 8065-2025")</f>
        <v/>
      </c>
      <c r="AC20">
        <f>HYPERLINK("https://klasma.github.io/Logging_1292/tillsyn/A 8065-2025 tillsynsbegäran.docx", "A 8065-2025")</f>
        <v/>
      </c>
      <c r="AD20">
        <f>HYPERLINK("https://klasma.github.io/Logging_1292/tillsynsmail/A 8065-2025 tillsynsbegäran mail.docx", "A 8065-2025")</f>
        <v/>
      </c>
    </row>
    <row r="21" ht="15" customHeight="1">
      <c r="A21" t="inlineStr">
        <is>
          <t>A 31907-2023</t>
        </is>
      </c>
      <c r="B21" t="inlineStr">
        <is>
          <t>avverkningsanmälan</t>
        </is>
      </c>
      <c r="C21" t="inlineStr">
        <is>
          <t>Föryngringsavverkning</t>
        </is>
      </c>
      <c r="D21" s="1" t="n">
        <v>45118</v>
      </c>
      <c r="E21" s="1" t="n">
        <v>46272</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3317-2026</t>
        </is>
      </c>
      <c r="B22" t="inlineStr">
        <is>
          <t>avverkningsanmälan</t>
        </is>
      </c>
      <c r="C22" t="inlineStr">
        <is>
          <t>Föryngringsavverkning</t>
        </is>
      </c>
      <c r="D22" s="1" t="n">
        <v>46041</v>
      </c>
      <c r="E22" s="1" t="n">
        <v>46272</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46272</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46272</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46272</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46272</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46272</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46272</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46272</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46272</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46272</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46272</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46272</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46272</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46272</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46272</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46272</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46272</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46272</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46272</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46272</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A 35675-2026</t>
        </is>
      </c>
      <c r="B42" t="inlineStr">
        <is>
          <t>avverkningsanmälan</t>
        </is>
      </c>
      <c r="C42" t="inlineStr">
        <is>
          <t>Föryngringsavverkning</t>
        </is>
      </c>
      <c r="D42" s="1" t="n">
        <v>46265</v>
      </c>
      <c r="E42" s="1" t="n">
        <v>46272</v>
      </c>
      <c r="F42" t="inlineStr">
        <is>
          <t>SKÅNE LÄN</t>
        </is>
      </c>
      <c r="G42" t="inlineStr">
        <is>
          <t>ÄNGELHOLM</t>
        </is>
      </c>
      <c r="I42" t="n">
        <v>8.9</v>
      </c>
      <c r="J42" t="n">
        <v>1</v>
      </c>
      <c r="K42" t="n">
        <v>0</v>
      </c>
      <c r="L42" t="n">
        <v>0</v>
      </c>
      <c r="M42" t="n">
        <v>1</v>
      </c>
      <c r="N42" t="n">
        <v>0</v>
      </c>
      <c r="O42" t="n">
        <v>0</v>
      </c>
      <c r="P42" t="n">
        <v>0</v>
      </c>
      <c r="Q42" t="n">
        <v>1</v>
      </c>
      <c r="R42" t="n">
        <v>1</v>
      </c>
      <c r="S42" t="n">
        <v>1</v>
      </c>
      <c r="T42" t="n">
        <v>1</v>
      </c>
      <c r="U42" t="n">
        <v>0</v>
      </c>
      <c r="V42" s="2" t="inlineStr">
        <is>
          <t>Lappuggla</t>
        </is>
      </c>
      <c r="W42">
        <f>HYPERLINK("https://klasma.github.io/Logging_1292/artfynd/A 35675-2026 artfynd.xlsx", "A 35675-2026")</f>
        <v/>
      </c>
      <c r="X42">
        <f>HYPERLINK("https://klasma.github.io/Logging_1292/kartor/A 35675-2026 karta.png", "A 35675-2026")</f>
        <v/>
      </c>
      <c r="Y42">
        <f>HYPERLINK("https://klasma.github.io/Logging_1292/kartor_geotiff/A 35675-2026 georefererad karta.tif", "A 35675-2026")</f>
        <v/>
      </c>
      <c r="AA42">
        <f>HYPERLINK("https://klasma.github.io/Logging_1292/klagomål/A 35675-2026 FSC-klagomål.docx", "A 35675-2026")</f>
        <v/>
      </c>
      <c r="AB42">
        <f>HYPERLINK("https://klasma.github.io/Logging_1292/klagomålsmail/A 35675-2026 FSC-klagomål mail.docx", "A 35675-2026")</f>
        <v/>
      </c>
      <c r="AC42">
        <f>HYPERLINK("https://klasma.github.io/Logging_1292/tillsyn/A 35675-2026 tillsynsbegäran.docx", "A 35675-2026")</f>
        <v/>
      </c>
      <c r="AD42">
        <f>HYPERLINK("https://klasma.github.io/Logging_1292/tillsynsmail/A 35675-2026 tillsynsbegäran mail.docx", "A 35675-2026")</f>
        <v/>
      </c>
      <c r="AE42">
        <f>HYPERLINK("https://klasma.github.io/Logging_1292/fåglar/A 35675-2026 prioriterade fågelarter.docx", "A 35675-2026")</f>
        <v/>
      </c>
    </row>
    <row r="43" ht="15" customHeight="1">
      <c r="A43" t="inlineStr">
        <is>
          <t>S 1961-2023</t>
        </is>
      </c>
      <c r="B43" t="inlineStr">
        <is>
          <t>samrådsanmälan</t>
        </is>
      </c>
      <c r="C43" t="inlineStr">
        <is>
          <t>Askåterföring</t>
        </is>
      </c>
      <c r="D43" s="1" t="n">
        <v>45084</v>
      </c>
      <c r="E43" s="1" t="n">
        <v>46272</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46272</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46272</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46272</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46272</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46272</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46272</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46272</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46272</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46272</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46272</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36041-2022</t>
        </is>
      </c>
      <c r="B54" t="inlineStr">
        <is>
          <t>avverkningsanmälan</t>
        </is>
      </c>
      <c r="C54" t="inlineStr">
        <is>
          <t>Föryngringsavverkning</t>
        </is>
      </c>
      <c r="D54" s="1" t="n">
        <v>44802</v>
      </c>
      <c r="E54" s="1" t="n">
        <v>46272</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46272</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46272</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46272</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40275-2023</t>
        </is>
      </c>
      <c r="B58" t="inlineStr">
        <is>
          <t>avverkningsanmälan</t>
        </is>
      </c>
      <c r="C58" t="inlineStr">
        <is>
          <t>Föryngringsavverkning</t>
        </is>
      </c>
      <c r="D58" s="1" t="n">
        <v>45169</v>
      </c>
      <c r="E58" s="1" t="n">
        <v>46272</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6667-2025</t>
        </is>
      </c>
      <c r="B59" t="inlineStr">
        <is>
          <t>avverkningsanmälan</t>
        </is>
      </c>
      <c r="C59" t="inlineStr">
        <is>
          <t>Föryngringsavverkning</t>
        </is>
      </c>
      <c r="D59" s="1" t="n">
        <v>45700</v>
      </c>
      <c r="E59" s="1" t="n">
        <v>46272</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46702-2024</t>
        </is>
      </c>
      <c r="B60" t="inlineStr">
        <is>
          <t>avverkningsanmälan</t>
        </is>
      </c>
      <c r="C60" t="inlineStr">
        <is>
          <t>Föryngringsavverkning</t>
        </is>
      </c>
      <c r="D60" s="1" t="n">
        <v>45583</v>
      </c>
      <c r="E60" s="1" t="n">
        <v>46272</v>
      </c>
      <c r="F60" t="inlineStr">
        <is>
          <t>SKÅNE LÄN</t>
        </is>
      </c>
      <c r="G60" t="inlineStr">
        <is>
          <t>ÄNGELHOLM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31789-2023</t>
        </is>
      </c>
      <c r="B61" t="inlineStr">
        <is>
          <t>avverkningsanmälan</t>
        </is>
      </c>
      <c r="C61" t="inlineStr">
        <is>
          <t>Föryngringsavverkning</t>
        </is>
      </c>
      <c r="D61" s="1" t="n">
        <v>45118</v>
      </c>
      <c r="E61" s="1" t="n">
        <v>46272</v>
      </c>
      <c r="F61" t="inlineStr">
        <is>
          <t>SKÅNE LÄN</t>
        </is>
      </c>
      <c r="G61" t="inlineStr">
        <is>
          <t>ÄNGELHOLM</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1644-2025</t>
        </is>
      </c>
      <c r="B62" t="inlineStr">
        <is>
          <t>avverkningsanmälan</t>
        </is>
      </c>
      <c r="C62" t="inlineStr">
        <is>
          <t>Föryngringsavverkning</t>
        </is>
      </c>
      <c r="D62" s="1" t="n">
        <v>45670</v>
      </c>
      <c r="E62" s="1" t="n">
        <v>46272</v>
      </c>
      <c r="F62" t="inlineStr">
        <is>
          <t>SKÅNE LÄN</t>
        </is>
      </c>
      <c r="G62" t="inlineStr">
        <is>
          <t>ÄNGELHOLM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55545-2022</t>
        </is>
      </c>
      <c r="B63" t="inlineStr">
        <is>
          <t>avverkningsanmälan</t>
        </is>
      </c>
      <c r="C63" t="inlineStr">
        <is>
          <t>Föryngringsavverkning</t>
        </is>
      </c>
      <c r="D63" s="1" t="n">
        <v>44887</v>
      </c>
      <c r="E63" s="1" t="n">
        <v>46272</v>
      </c>
      <c r="F63" t="inlineStr">
        <is>
          <t>SKÅNE LÄN</t>
        </is>
      </c>
      <c r="G63" t="inlineStr">
        <is>
          <t>ÄNGELHOLM</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46272</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55529-2024</t>
        </is>
      </c>
      <c r="B65" t="inlineStr">
        <is>
          <t>avverkningsanmälan</t>
        </is>
      </c>
      <c r="C65" t="inlineStr">
        <is>
          <t>Föryngringsavverkning</t>
        </is>
      </c>
      <c r="D65" s="1" t="n">
        <v>45622</v>
      </c>
      <c r="E65" s="1" t="n">
        <v>46272</v>
      </c>
      <c r="F65" t="inlineStr">
        <is>
          <t>SKÅNE LÄN</t>
        </is>
      </c>
      <c r="G65" t="inlineStr">
        <is>
          <t>ÄNGELHOLM</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25669-2024</t>
        </is>
      </c>
      <c r="B66" t="inlineStr">
        <is>
          <t>avverkningsanmälan</t>
        </is>
      </c>
      <c r="C66" t="inlineStr">
        <is>
          <t>Föryngringsavverkning</t>
        </is>
      </c>
      <c r="D66" s="1" t="n">
        <v>45463</v>
      </c>
      <c r="E66" s="1" t="n">
        <v>46272</v>
      </c>
      <c r="F66" t="inlineStr">
        <is>
          <t>SKÅNE LÄN</t>
        </is>
      </c>
      <c r="G66" t="inlineStr">
        <is>
          <t>ÄNGELHOLM</t>
        </is>
      </c>
      <c r="I66" t="n">
        <v>17.9</v>
      </c>
      <c r="J66" t="n">
        <v>0</v>
      </c>
      <c r="K66" t="n">
        <v>0</v>
      </c>
      <c r="L66" t="n">
        <v>0</v>
      </c>
      <c r="M66" t="n">
        <v>0</v>
      </c>
      <c r="N66" t="n">
        <v>0</v>
      </c>
      <c r="O66" t="n">
        <v>0</v>
      </c>
      <c r="P66" t="n">
        <v>0</v>
      </c>
      <c r="Q66" t="n">
        <v>0</v>
      </c>
      <c r="R66" t="n">
        <v>0</v>
      </c>
      <c r="S66" t="n">
        <v>0</v>
      </c>
      <c r="T66" t="n">
        <v>0</v>
      </c>
      <c r="U66" t="n">
        <v>0</v>
      </c>
      <c r="V66" s="2" t="inlineStr"/>
    </row>
    <row r="67" ht="15" customHeight="1">
      <c r="A67" t="inlineStr">
        <is>
          <t>A 23676-2024</t>
        </is>
      </c>
      <c r="B67" t="inlineStr">
        <is>
          <t>avverkningsanmälan</t>
        </is>
      </c>
      <c r="C67" t="inlineStr">
        <is>
          <t>Föryngringsavverkning</t>
        </is>
      </c>
      <c r="D67" s="1" t="n">
        <v>45454</v>
      </c>
      <c r="E67" s="1" t="n">
        <v>46272</v>
      </c>
      <c r="F67" t="inlineStr">
        <is>
          <t>SKÅNE LÄN</t>
        </is>
      </c>
      <c r="G67" t="inlineStr">
        <is>
          <t>ÄNGELHOLM</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40287-2025</t>
        </is>
      </c>
      <c r="B68" t="inlineStr">
        <is>
          <t>avverkningsanmälan</t>
        </is>
      </c>
      <c r="C68" t="inlineStr">
        <is>
          <t>Föryngringsavverkning</t>
        </is>
      </c>
      <c r="D68" s="1" t="n">
        <v>45895</v>
      </c>
      <c r="E68" s="1" t="n">
        <v>46272</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42826-2025</t>
        </is>
      </c>
      <c r="B69" t="inlineStr">
        <is>
          <t>avverkningsanmälan</t>
        </is>
      </c>
      <c r="C69" t="inlineStr">
        <is>
          <t>Föryngringsavverkning</t>
        </is>
      </c>
      <c r="D69" s="1" t="n">
        <v>45908</v>
      </c>
      <c r="E69" s="1" t="n">
        <v>46272</v>
      </c>
      <c r="F69" t="inlineStr">
        <is>
          <t>SKÅNE LÄN</t>
        </is>
      </c>
      <c r="G69" t="inlineStr">
        <is>
          <t>ÄNGELHOLM</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32020-2025</t>
        </is>
      </c>
      <c r="B70" t="inlineStr">
        <is>
          <t>avverkningsanmälan</t>
        </is>
      </c>
      <c r="C70" t="inlineStr">
        <is>
          <t>Föryngringsavverkning</t>
        </is>
      </c>
      <c r="D70" s="1" t="n">
        <v>45835</v>
      </c>
      <c r="E70" s="1" t="n">
        <v>46272</v>
      </c>
      <c r="F70" t="inlineStr">
        <is>
          <t>SKÅNE LÄN</t>
        </is>
      </c>
      <c r="G70" t="inlineStr">
        <is>
          <t>ÄNGELHOLM</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8139-2025</t>
        </is>
      </c>
      <c r="B71" t="inlineStr">
        <is>
          <t>avverkningsanmälan</t>
        </is>
      </c>
      <c r="C71" t="inlineStr">
        <is>
          <t>Föryngringsavverkning</t>
        </is>
      </c>
      <c r="D71" s="1" t="n">
        <v>45708</v>
      </c>
      <c r="E71" s="1" t="n">
        <v>46272</v>
      </c>
      <c r="F71" t="inlineStr">
        <is>
          <t>SKÅNE LÄN</t>
        </is>
      </c>
      <c r="G71" t="inlineStr">
        <is>
          <t>ÄNGELHOLM</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44448-2023</t>
        </is>
      </c>
      <c r="B72" t="inlineStr">
        <is>
          <t>avverkningsanmälan</t>
        </is>
      </c>
      <c r="C72" t="inlineStr">
        <is>
          <t>Föryngringsavverkning</t>
        </is>
      </c>
      <c r="D72" s="1" t="n">
        <v>45189</v>
      </c>
      <c r="E72" s="1" t="n">
        <v>46272</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13662-2025</t>
        </is>
      </c>
      <c r="B73" t="inlineStr">
        <is>
          <t>avverkningsanmälan</t>
        </is>
      </c>
      <c r="C73" t="inlineStr">
        <is>
          <t>Föryngringsavverkning</t>
        </is>
      </c>
      <c r="D73" s="1" t="n">
        <v>45736</v>
      </c>
      <c r="E73" s="1" t="n">
        <v>46272</v>
      </c>
      <c r="F73" t="inlineStr">
        <is>
          <t>SKÅNE LÄN</t>
        </is>
      </c>
      <c r="G73" t="inlineStr">
        <is>
          <t>ÄNGELHOLM</t>
        </is>
      </c>
      <c r="I73" t="n">
        <v>6.4</v>
      </c>
      <c r="J73" t="n">
        <v>0</v>
      </c>
      <c r="K73" t="n">
        <v>0</v>
      </c>
      <c r="L73" t="n">
        <v>0</v>
      </c>
      <c r="M73" t="n">
        <v>0</v>
      </c>
      <c r="N73" t="n">
        <v>0</v>
      </c>
      <c r="O73" t="n">
        <v>0</v>
      </c>
      <c r="P73" t="n">
        <v>0</v>
      </c>
      <c r="Q73" t="n">
        <v>0</v>
      </c>
      <c r="R73" t="n">
        <v>0</v>
      </c>
      <c r="S73" t="n">
        <v>0</v>
      </c>
      <c r="T73" t="n">
        <v>0</v>
      </c>
      <c r="U73" t="n">
        <v>0</v>
      </c>
      <c r="V73" s="2" t="inlineStr"/>
    </row>
    <row r="74" ht="15" customHeight="1">
      <c r="A74" t="inlineStr">
        <is>
          <t>A 31143-2024</t>
        </is>
      </c>
      <c r="B74" t="inlineStr">
        <is>
          <t>avverkningsanmälan</t>
        </is>
      </c>
      <c r="C74" t="inlineStr">
        <is>
          <t>Avverkning för annat ändamål</t>
        </is>
      </c>
      <c r="D74" s="1" t="n">
        <v>45502</v>
      </c>
      <c r="E74" s="1" t="n">
        <v>46272</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23328-2022</t>
        </is>
      </c>
      <c r="B75" t="inlineStr">
        <is>
          <t>avverkningsanmälan</t>
        </is>
      </c>
      <c r="C75" t="inlineStr">
        <is>
          <t>Föryngringsavverkning</t>
        </is>
      </c>
      <c r="D75" s="1" t="n">
        <v>44720</v>
      </c>
      <c r="E75" s="1" t="n">
        <v>46272</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15154-2023</t>
        </is>
      </c>
      <c r="B76" t="inlineStr">
        <is>
          <t>avverkningsanmälan</t>
        </is>
      </c>
      <c r="C76" t="inlineStr">
        <is>
          <t>Föryngringsavverkning</t>
        </is>
      </c>
      <c r="D76" s="1" t="n">
        <v>45016</v>
      </c>
      <c r="E76" s="1" t="n">
        <v>46272</v>
      </c>
      <c r="F76" t="inlineStr">
        <is>
          <t>SKÅNE LÄN</t>
        </is>
      </c>
      <c r="G76" t="inlineStr">
        <is>
          <t>ÄNGELHOLM</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46286-2024</t>
        </is>
      </c>
      <c r="B77" t="inlineStr">
        <is>
          <t>avverkningsanmälan</t>
        </is>
      </c>
      <c r="C77" t="inlineStr">
        <is>
          <t>Föryngringsavverkning</t>
        </is>
      </c>
      <c r="D77" s="1" t="n">
        <v>45581</v>
      </c>
      <c r="E77" s="1" t="n">
        <v>46272</v>
      </c>
      <c r="F77" t="inlineStr">
        <is>
          <t>SKÅNE LÄN</t>
        </is>
      </c>
      <c r="G77" t="inlineStr">
        <is>
          <t>ÄNGELHOLM</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55544-2022</t>
        </is>
      </c>
      <c r="B78" t="inlineStr">
        <is>
          <t>avverkningsanmälan</t>
        </is>
      </c>
      <c r="C78" t="inlineStr">
        <is>
          <t>Föryngringsavverkning</t>
        </is>
      </c>
      <c r="D78" s="1" t="n">
        <v>44887</v>
      </c>
      <c r="E78" s="1" t="n">
        <v>46272</v>
      </c>
      <c r="F78" t="inlineStr">
        <is>
          <t>SKÅNE LÄN</t>
        </is>
      </c>
      <c r="G78" t="inlineStr">
        <is>
          <t>ÄNGELHOLM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7337-2024</t>
        </is>
      </c>
      <c r="B79" t="inlineStr">
        <is>
          <t>avverkningsanmälan</t>
        </is>
      </c>
      <c r="C79" t="inlineStr">
        <is>
          <t>Föryngringsavverkning</t>
        </is>
      </c>
      <c r="D79" s="1" t="n">
        <v>45345</v>
      </c>
      <c r="E79" s="1" t="n">
        <v>46272</v>
      </c>
      <c r="F79" t="inlineStr">
        <is>
          <t>SKÅNE LÄN</t>
        </is>
      </c>
      <c r="G79" t="inlineStr">
        <is>
          <t>ÄNGELHOLM</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52519-2025</t>
        </is>
      </c>
      <c r="B80" t="inlineStr">
        <is>
          <t>avverkningsanmälan</t>
        </is>
      </c>
      <c r="C80" t="inlineStr">
        <is>
          <t>Föryngringsavverkning</t>
        </is>
      </c>
      <c r="D80" s="1" t="n">
        <v>45954</v>
      </c>
      <c r="E80" s="1" t="n">
        <v>46272</v>
      </c>
      <c r="F80" t="inlineStr">
        <is>
          <t>SKÅNE LÄN</t>
        </is>
      </c>
      <c r="G80" t="inlineStr">
        <is>
          <t>ÄNGELHOLM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49610-2024</t>
        </is>
      </c>
      <c r="B81" t="inlineStr">
        <is>
          <t>avverkningsanmälan</t>
        </is>
      </c>
      <c r="C81" t="inlineStr">
        <is>
          <t>Föryngringsavverkning</t>
        </is>
      </c>
      <c r="D81" s="1" t="n">
        <v>45596</v>
      </c>
      <c r="E81" s="1" t="n">
        <v>46272</v>
      </c>
      <c r="F81" t="inlineStr">
        <is>
          <t>SKÅNE LÄN</t>
        </is>
      </c>
      <c r="G81" t="inlineStr">
        <is>
          <t>ÄNGELHOLM</t>
        </is>
      </c>
      <c r="I81" t="n">
        <v>6.4</v>
      </c>
      <c r="J81" t="n">
        <v>0</v>
      </c>
      <c r="K81" t="n">
        <v>0</v>
      </c>
      <c r="L81" t="n">
        <v>0</v>
      </c>
      <c r="M81" t="n">
        <v>0</v>
      </c>
      <c r="N81" t="n">
        <v>0</v>
      </c>
      <c r="O81" t="n">
        <v>0</v>
      </c>
      <c r="P81" t="n">
        <v>0</v>
      </c>
      <c r="Q81" t="n">
        <v>0</v>
      </c>
      <c r="R81" t="n">
        <v>0</v>
      </c>
      <c r="S81" t="n">
        <v>0</v>
      </c>
      <c r="T81" t="n">
        <v>0</v>
      </c>
      <c r="U81" t="n">
        <v>0</v>
      </c>
      <c r="V81" s="2" t="inlineStr"/>
    </row>
    <row r="82" ht="15" customHeight="1">
      <c r="A82" t="inlineStr">
        <is>
          <t>A 13243-2025</t>
        </is>
      </c>
      <c r="B82" t="inlineStr">
        <is>
          <t>avverkningsanmälan</t>
        </is>
      </c>
      <c r="C82" t="inlineStr">
        <is>
          <t>Föryngringsavverkning</t>
        </is>
      </c>
      <c r="D82" s="1" t="n">
        <v>45735</v>
      </c>
      <c r="E82" s="1" t="n">
        <v>46272</v>
      </c>
      <c r="F82" t="inlineStr">
        <is>
          <t>SKÅNE LÄN</t>
        </is>
      </c>
      <c r="G82" t="inlineStr">
        <is>
          <t>ÄNGELHOLM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7811-2023</t>
        </is>
      </c>
      <c r="B83" t="inlineStr">
        <is>
          <t>avverkningsanmälan</t>
        </is>
      </c>
      <c r="C83" t="inlineStr">
        <is>
          <t>Föryngringsavverkning</t>
        </is>
      </c>
      <c r="D83" s="1" t="n">
        <v>44973</v>
      </c>
      <c r="E83" s="1" t="n">
        <v>46272</v>
      </c>
      <c r="F83" t="inlineStr">
        <is>
          <t>SKÅNE LÄN</t>
        </is>
      </c>
      <c r="G83" t="inlineStr">
        <is>
          <t>ÄNGELHOLM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58137-2022</t>
        </is>
      </c>
      <c r="B84" t="inlineStr">
        <is>
          <t>avverkningsanmälan</t>
        </is>
      </c>
      <c r="C84" t="inlineStr">
        <is>
          <t>Föryngringsavverkning</t>
        </is>
      </c>
      <c r="D84" s="1" t="n">
        <v>44900</v>
      </c>
      <c r="E84" s="1" t="n">
        <v>46272</v>
      </c>
      <c r="F84" t="inlineStr">
        <is>
          <t>SKÅNE LÄN</t>
        </is>
      </c>
      <c r="G84" t="inlineStr">
        <is>
          <t>ÄNGELHOLM</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42105-2022</t>
        </is>
      </c>
      <c r="B85" t="inlineStr">
        <is>
          <t>avverkningsanmälan</t>
        </is>
      </c>
      <c r="C85" t="inlineStr">
        <is>
          <t>Föryngringsavverkning</t>
        </is>
      </c>
      <c r="D85" s="1" t="n">
        <v>44830</v>
      </c>
      <c r="E85" s="1" t="n">
        <v>46272</v>
      </c>
      <c r="F85" t="inlineStr">
        <is>
          <t>SKÅNE LÄN</t>
        </is>
      </c>
      <c r="G85" t="inlineStr">
        <is>
          <t>ÄNGELHOLM</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55728-2025</t>
        </is>
      </c>
      <c r="B86" t="inlineStr">
        <is>
          <t>avverkningsanmälan</t>
        </is>
      </c>
      <c r="C86" t="inlineStr">
        <is>
          <t>Föryngringsavverkning</t>
        </is>
      </c>
      <c r="D86" s="1" t="n">
        <v>45972</v>
      </c>
      <c r="E86" s="1" t="n">
        <v>46272</v>
      </c>
      <c r="F86" t="inlineStr">
        <is>
          <t>SKÅNE LÄN</t>
        </is>
      </c>
      <c r="G86" t="inlineStr">
        <is>
          <t>ÄNGELHOLM</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50652-2023</t>
        </is>
      </c>
      <c r="B87" t="inlineStr">
        <is>
          <t>avverkningsanmälan</t>
        </is>
      </c>
      <c r="C87" t="inlineStr">
        <is>
          <t>Föryngringsavverkning</t>
        </is>
      </c>
      <c r="D87" s="1" t="n">
        <v>45210</v>
      </c>
      <c r="E87" s="1" t="n">
        <v>46272</v>
      </c>
      <c r="F87" t="inlineStr">
        <is>
          <t>SKÅNE LÄN</t>
        </is>
      </c>
      <c r="G87" t="inlineStr">
        <is>
          <t>ÄNGELHOLM</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24855-2024</t>
        </is>
      </c>
      <c r="B88" t="inlineStr">
        <is>
          <t>avverkningsanmälan</t>
        </is>
      </c>
      <c r="C88" t="inlineStr">
        <is>
          <t>Föryngringsavverkning</t>
        </is>
      </c>
      <c r="D88" s="1" t="n">
        <v>45461</v>
      </c>
      <c r="E88" s="1" t="n">
        <v>46272</v>
      </c>
      <c r="F88" t="inlineStr">
        <is>
          <t>SKÅNE LÄN</t>
        </is>
      </c>
      <c r="G88" t="inlineStr">
        <is>
          <t>ÄNGELHOLM</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9055-2026</t>
        </is>
      </c>
      <c r="B89" t="inlineStr">
        <is>
          <t>avverkningsanmälan</t>
        </is>
      </c>
      <c r="C89" t="inlineStr">
        <is>
          <t>Föryngringsavverkning</t>
        </is>
      </c>
      <c r="D89" s="1" t="n">
        <v>46069</v>
      </c>
      <c r="E89" s="1" t="n">
        <v>46272</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57725-2025</t>
        </is>
      </c>
      <c r="B90" t="inlineStr">
        <is>
          <t>avverkningsanmälan</t>
        </is>
      </c>
      <c r="C90" t="inlineStr">
        <is>
          <t>Föryngringsavverkning</t>
        </is>
      </c>
      <c r="D90" s="1" t="n">
        <v>45981</v>
      </c>
      <c r="E90" s="1" t="n">
        <v>46272</v>
      </c>
      <c r="F90" t="inlineStr">
        <is>
          <t>SKÅNE LÄN</t>
        </is>
      </c>
      <c r="G90" t="inlineStr">
        <is>
          <t>ÄNGELHOLM</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4755-2024</t>
        </is>
      </c>
      <c r="B91" t="inlineStr">
        <is>
          <t>avverkningsanmälan</t>
        </is>
      </c>
      <c r="C91" t="inlineStr">
        <is>
          <t>Föryngringsavverkning</t>
        </is>
      </c>
      <c r="D91" s="1" t="n">
        <v>45328</v>
      </c>
      <c r="E91" s="1" t="n">
        <v>46272</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14400-2023</t>
        </is>
      </c>
      <c r="B92" t="inlineStr">
        <is>
          <t>avverkningsanmälan</t>
        </is>
      </c>
      <c r="C92" t="inlineStr">
        <is>
          <t>Föryngringsavverkning</t>
        </is>
      </c>
      <c r="D92" s="1" t="n">
        <v>45012</v>
      </c>
      <c r="E92" s="1" t="n">
        <v>46272</v>
      </c>
      <c r="F92" t="inlineStr">
        <is>
          <t>SKÅNE LÄN</t>
        </is>
      </c>
      <c r="G92" t="inlineStr">
        <is>
          <t>ÄNGELHOLM</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23227-2023</t>
        </is>
      </c>
      <c r="B93" t="inlineStr">
        <is>
          <t>avverkningsanmälan</t>
        </is>
      </c>
      <c r="C93" t="inlineStr">
        <is>
          <t>Föryngringsavverkning</t>
        </is>
      </c>
      <c r="D93" s="1" t="n">
        <v>45075</v>
      </c>
      <c r="E93" s="1" t="n">
        <v>46272</v>
      </c>
      <c r="F93" t="inlineStr">
        <is>
          <t>SKÅNE LÄN</t>
        </is>
      </c>
      <c r="G93" t="inlineStr">
        <is>
          <t>ÄNGELHOLM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9578-2025</t>
        </is>
      </c>
      <c r="B94" t="inlineStr">
        <is>
          <t>avverkningsanmälan</t>
        </is>
      </c>
      <c r="C94" t="inlineStr">
        <is>
          <t>Föryngringsavverkning</t>
        </is>
      </c>
      <c r="D94" s="1" t="n">
        <v>45715</v>
      </c>
      <c r="E94" s="1" t="n">
        <v>46272</v>
      </c>
      <c r="F94" t="inlineStr">
        <is>
          <t>SKÅNE LÄN</t>
        </is>
      </c>
      <c r="G94" t="inlineStr">
        <is>
          <t>ÄNGELHOLM</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8882-2025</t>
        </is>
      </c>
      <c r="B95" t="inlineStr">
        <is>
          <t>avverkningsanmälan</t>
        </is>
      </c>
      <c r="C95" t="inlineStr">
        <is>
          <t>Föryngringsavverkning</t>
        </is>
      </c>
      <c r="D95" s="1" t="n">
        <v>45713</v>
      </c>
      <c r="E95" s="1" t="n">
        <v>46272</v>
      </c>
      <c r="F95" t="inlineStr">
        <is>
          <t>SKÅNE LÄN</t>
        </is>
      </c>
      <c r="G95" t="inlineStr">
        <is>
          <t>ÄNGELHOLM</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18571-2025</t>
        </is>
      </c>
      <c r="B96" t="inlineStr">
        <is>
          <t>avverkningsanmälan</t>
        </is>
      </c>
      <c r="C96" t="inlineStr">
        <is>
          <t>Föryngringsavverkning</t>
        </is>
      </c>
      <c r="D96" s="1" t="n">
        <v>45763</v>
      </c>
      <c r="E96" s="1" t="n">
        <v>46272</v>
      </c>
      <c r="F96" t="inlineStr">
        <is>
          <t>SKÅNE LÄN</t>
        </is>
      </c>
      <c r="G96" t="inlineStr">
        <is>
          <t>ÄNGELHOLM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16419-2023</t>
        </is>
      </c>
      <c r="B97" t="inlineStr">
        <is>
          <t>avverkningsanmälan</t>
        </is>
      </c>
      <c r="C97" t="inlineStr">
        <is>
          <t>Föryngringsavverkning</t>
        </is>
      </c>
      <c r="D97" s="1" t="n">
        <v>45022</v>
      </c>
      <c r="E97" s="1" t="n">
        <v>46272</v>
      </c>
      <c r="F97" t="inlineStr">
        <is>
          <t>SKÅNE LÄN</t>
        </is>
      </c>
      <c r="G97" t="inlineStr">
        <is>
          <t>ÄNGELHOLM</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27551-2023</t>
        </is>
      </c>
      <c r="B98" t="inlineStr">
        <is>
          <t>avverkningsanmälan</t>
        </is>
      </c>
      <c r="C98" t="inlineStr">
        <is>
          <t>Föryngringsavverkning</t>
        </is>
      </c>
      <c r="D98" s="1" t="n">
        <v>45097</v>
      </c>
      <c r="E98" s="1" t="n">
        <v>46272</v>
      </c>
      <c r="F98" t="inlineStr">
        <is>
          <t>SKÅNE LÄN</t>
        </is>
      </c>
      <c r="G98" t="inlineStr">
        <is>
          <t>ÄNGELHOLM</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2575-2024</t>
        </is>
      </c>
      <c r="B99" t="inlineStr">
        <is>
          <t>avverkningsanmälan</t>
        </is>
      </c>
      <c r="C99" t="inlineStr">
        <is>
          <t>Föryngringsavverkning</t>
        </is>
      </c>
      <c r="D99" s="1" t="n">
        <v>45313</v>
      </c>
      <c r="E99" s="1" t="n">
        <v>46272</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9803-2026</t>
        </is>
      </c>
      <c r="B100" t="inlineStr">
        <is>
          <t>avverkningsanmälan</t>
        </is>
      </c>
      <c r="C100" t="inlineStr">
        <is>
          <t>Föryngringsavverkning</t>
        </is>
      </c>
      <c r="D100" s="1" t="n">
        <v>46072</v>
      </c>
      <c r="E100" s="1" t="n">
        <v>46272</v>
      </c>
      <c r="F100" t="inlineStr">
        <is>
          <t>SKÅNE LÄN</t>
        </is>
      </c>
      <c r="G100" t="inlineStr">
        <is>
          <t>ÄNGELHOLM</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4089-2024</t>
        </is>
      </c>
      <c r="B101" t="inlineStr">
        <is>
          <t>avverkningsanmälan</t>
        </is>
      </c>
      <c r="C101" t="inlineStr">
        <is>
          <t>Föryngringsavverkning</t>
        </is>
      </c>
      <c r="D101" s="1" t="n">
        <v>45323</v>
      </c>
      <c r="E101" s="1" t="n">
        <v>46272</v>
      </c>
      <c r="F101" t="inlineStr">
        <is>
          <t>SKÅNE LÄN</t>
        </is>
      </c>
      <c r="G101" t="inlineStr">
        <is>
          <t>ÄNGELHOLM</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7707-2025</t>
        </is>
      </c>
      <c r="B102" t="inlineStr">
        <is>
          <t>avverkningsanmälan</t>
        </is>
      </c>
      <c r="C102" t="inlineStr">
        <is>
          <t>Föryngringsavverkning</t>
        </is>
      </c>
      <c r="D102" s="1" t="n">
        <v>45705</v>
      </c>
      <c r="E102" s="1" t="n">
        <v>46272</v>
      </c>
      <c r="F102" t="inlineStr">
        <is>
          <t>SKÅNE LÄN</t>
        </is>
      </c>
      <c r="G102" t="inlineStr">
        <is>
          <t>ÄNGELHOLM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19650-2026</t>
        </is>
      </c>
      <c r="B103" t="inlineStr">
        <is>
          <t>avverkningsanmälan</t>
        </is>
      </c>
      <c r="C103" t="inlineStr">
        <is>
          <t>Föryngringsavverkning</t>
        </is>
      </c>
      <c r="D103" s="1" t="n">
        <v>46134</v>
      </c>
      <c r="E103" s="1" t="n">
        <v>46272</v>
      </c>
      <c r="F103" t="inlineStr">
        <is>
          <t>SKÅNE LÄN</t>
        </is>
      </c>
      <c r="G103" t="inlineStr">
        <is>
          <t>ÄNGELHOLM</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28496-2023</t>
        </is>
      </c>
      <c r="B104" t="inlineStr">
        <is>
          <t>avverkningsanmälan</t>
        </is>
      </c>
      <c r="C104" t="inlineStr">
        <is>
          <t>Föryngringsavverkning</t>
        </is>
      </c>
      <c r="D104" s="1" t="n">
        <v>45103</v>
      </c>
      <c r="E104" s="1" t="n">
        <v>46272</v>
      </c>
      <c r="F104" t="inlineStr">
        <is>
          <t>SKÅNE LÄN</t>
        </is>
      </c>
      <c r="G104" t="inlineStr">
        <is>
          <t>ÄNGELHOLM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1299-2024</t>
        </is>
      </c>
      <c r="B105" t="inlineStr">
        <is>
          <t>avverkningsanmälan</t>
        </is>
      </c>
      <c r="C105" t="inlineStr">
        <is>
          <t>Föryngringsavverkning</t>
        </is>
      </c>
      <c r="D105" s="1" t="n">
        <v>45303</v>
      </c>
      <c r="E105" s="1" t="n">
        <v>46272</v>
      </c>
      <c r="F105" t="inlineStr">
        <is>
          <t>SKÅNE LÄN</t>
        </is>
      </c>
      <c r="G105" t="inlineStr">
        <is>
          <t>ÄNGELHOLM</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58134-2022</t>
        </is>
      </c>
      <c r="B106" t="inlineStr">
        <is>
          <t>avverkningsanmälan</t>
        </is>
      </c>
      <c r="C106" t="inlineStr">
        <is>
          <t>Föryngringsavverkning</t>
        </is>
      </c>
      <c r="D106" s="1" t="n">
        <v>44900</v>
      </c>
      <c r="E106" s="1" t="n">
        <v>46272</v>
      </c>
      <c r="F106" t="inlineStr">
        <is>
          <t>SKÅNE LÄN</t>
        </is>
      </c>
      <c r="G106" t="inlineStr">
        <is>
          <t>ÄNGELHOLM</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32364-2023</t>
        </is>
      </c>
      <c r="B107" t="inlineStr">
        <is>
          <t>avverkningsanmälan</t>
        </is>
      </c>
      <c r="C107" t="inlineStr">
        <is>
          <t>Föryngringsavverkning</t>
        </is>
      </c>
      <c r="D107" s="1" t="n">
        <v>45120</v>
      </c>
      <c r="E107" s="1" t="n">
        <v>46272</v>
      </c>
      <c r="F107" t="inlineStr">
        <is>
          <t>SKÅNE LÄN</t>
        </is>
      </c>
      <c r="G107" t="inlineStr">
        <is>
          <t>ÄNGELHOLM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74214-2021</t>
        </is>
      </c>
      <c r="B108" t="inlineStr">
        <is>
          <t>avverkningsanmälan</t>
        </is>
      </c>
      <c r="C108" t="inlineStr">
        <is>
          <t>Föryngringsavverkning</t>
        </is>
      </c>
      <c r="D108" s="1" t="n">
        <v>44553</v>
      </c>
      <c r="E108" s="1" t="n">
        <v>46272</v>
      </c>
      <c r="F108" t="inlineStr">
        <is>
          <t>SKÅNE LÄN</t>
        </is>
      </c>
      <c r="G108" t="inlineStr">
        <is>
          <t>ÄNGELHOLM</t>
        </is>
      </c>
      <c r="I108" t="n">
        <v>19.8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31503-2023</t>
        </is>
      </c>
      <c r="B109" t="inlineStr">
        <is>
          <t>avverkningsanmälan</t>
        </is>
      </c>
      <c r="C109" t="inlineStr">
        <is>
          <t>Föryngringsavverkning</t>
        </is>
      </c>
      <c r="D109" s="1" t="n">
        <v>45115</v>
      </c>
      <c r="E109" s="1" t="n">
        <v>46272</v>
      </c>
      <c r="F109" t="inlineStr">
        <is>
          <t>SKÅNE LÄN</t>
        </is>
      </c>
      <c r="G109" t="inlineStr">
        <is>
          <t>ÄNGELHOLM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39014-2023</t>
        </is>
      </c>
      <c r="B110" t="inlineStr">
        <is>
          <t>avverkningsanmälan</t>
        </is>
      </c>
      <c r="C110" t="inlineStr">
        <is>
          <t>Föryngringsavverkning</t>
        </is>
      </c>
      <c r="D110" s="1" t="n">
        <v>45163</v>
      </c>
      <c r="E110" s="1" t="n">
        <v>46272</v>
      </c>
      <c r="F110" t="inlineStr">
        <is>
          <t>SKÅNE LÄN</t>
        </is>
      </c>
      <c r="G110" t="inlineStr">
        <is>
          <t>ÄNGELHOLM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31908-2023</t>
        </is>
      </c>
      <c r="B111" t="inlineStr">
        <is>
          <t>avverkningsanmälan</t>
        </is>
      </c>
      <c r="C111" t="inlineStr">
        <is>
          <t>Föryngringsavverkning</t>
        </is>
      </c>
      <c r="D111" s="1" t="n">
        <v>45118</v>
      </c>
      <c r="E111" s="1" t="n">
        <v>46272</v>
      </c>
      <c r="F111" t="inlineStr">
        <is>
          <t>SKÅNE LÄN</t>
        </is>
      </c>
      <c r="G111" t="inlineStr">
        <is>
          <t>ÄNGELHOLM</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31502-2023</t>
        </is>
      </c>
      <c r="B112" t="inlineStr">
        <is>
          <t>avverkningsanmälan</t>
        </is>
      </c>
      <c r="C112" t="inlineStr">
        <is>
          <t>Föryngringsavverkning</t>
        </is>
      </c>
      <c r="D112" s="1" t="n">
        <v>45115</v>
      </c>
      <c r="E112" s="1" t="n">
        <v>46272</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28253-2023</t>
        </is>
      </c>
      <c r="B113" t="inlineStr">
        <is>
          <t>avverkningsanmälan</t>
        </is>
      </c>
      <c r="C113" t="inlineStr">
        <is>
          <t>Föryngringsavverkning</t>
        </is>
      </c>
      <c r="D113" s="1" t="n">
        <v>45099</v>
      </c>
      <c r="E113" s="1" t="n">
        <v>46272</v>
      </c>
      <c r="F113" t="inlineStr">
        <is>
          <t>SKÅNE LÄN</t>
        </is>
      </c>
      <c r="G113" t="inlineStr">
        <is>
          <t>ÄNGELHOLM</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21488-2023</t>
        </is>
      </c>
      <c r="B114" t="inlineStr">
        <is>
          <t>avverkningsanmälan</t>
        </is>
      </c>
      <c r="C114" t="inlineStr">
        <is>
          <t>Föryngringsavverkning</t>
        </is>
      </c>
      <c r="D114" s="1" t="n">
        <v>45061</v>
      </c>
      <c r="E114" s="1" t="n">
        <v>46272</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7994-2023</t>
        </is>
      </c>
      <c r="B115" t="inlineStr">
        <is>
          <t>avverkningsanmälan</t>
        </is>
      </c>
      <c r="C115" t="inlineStr">
        <is>
          <t>Föryngringsavverkning</t>
        </is>
      </c>
      <c r="D115" s="1" t="n">
        <v>44973</v>
      </c>
      <c r="E115" s="1" t="n">
        <v>46272</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27553-2023</t>
        </is>
      </c>
      <c r="B116" t="inlineStr">
        <is>
          <t>avverkningsanmälan</t>
        </is>
      </c>
      <c r="C116" t="inlineStr">
        <is>
          <t>Föryngringsavverkning</t>
        </is>
      </c>
      <c r="D116" s="1" t="n">
        <v>45097</v>
      </c>
      <c r="E116" s="1" t="n">
        <v>46272</v>
      </c>
      <c r="F116" t="inlineStr">
        <is>
          <t>SKÅNE LÄN</t>
        </is>
      </c>
      <c r="G116" t="inlineStr">
        <is>
          <t>ÄNGELHOLM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53501-2022</t>
        </is>
      </c>
      <c r="B117" t="inlineStr">
        <is>
          <t>avverkningsanmälan</t>
        </is>
      </c>
      <c r="C117" t="inlineStr">
        <is>
          <t>Föryngringsavverkning</t>
        </is>
      </c>
      <c r="D117" s="1" t="n">
        <v>44879</v>
      </c>
      <c r="E117" s="1" t="n">
        <v>46272</v>
      </c>
      <c r="F117" t="inlineStr">
        <is>
          <t>SKÅNE LÄN</t>
        </is>
      </c>
      <c r="G117" t="inlineStr">
        <is>
          <t>ÄNGELHOLM</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54709-2023</t>
        </is>
      </c>
      <c r="B118" t="inlineStr">
        <is>
          <t>avverkningsanmälan</t>
        </is>
      </c>
      <c r="C118" t="inlineStr">
        <is>
          <t>Föryngringsavverkning</t>
        </is>
      </c>
      <c r="D118" s="1" t="n">
        <v>45236</v>
      </c>
      <c r="E118" s="1" t="n">
        <v>46272</v>
      </c>
      <c r="F118" t="inlineStr">
        <is>
          <t>SKÅNE LÄN</t>
        </is>
      </c>
      <c r="G118" t="inlineStr">
        <is>
          <t>ÄNGELHOLM</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12148-2024</t>
        </is>
      </c>
      <c r="B119" t="inlineStr">
        <is>
          <t>avverkningsanmälan</t>
        </is>
      </c>
      <c r="C119" t="inlineStr">
        <is>
          <t>Föryngringsavverkning</t>
        </is>
      </c>
      <c r="D119" s="1" t="n">
        <v>45377</v>
      </c>
      <c r="E119" s="1" t="n">
        <v>46272</v>
      </c>
      <c r="F119" t="inlineStr">
        <is>
          <t>SKÅNE LÄN</t>
        </is>
      </c>
      <c r="G119" t="inlineStr">
        <is>
          <t>ÄNGELHOLM</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19500-2022</t>
        </is>
      </c>
      <c r="B120" t="inlineStr">
        <is>
          <t>avverkningsanmälan</t>
        </is>
      </c>
      <c r="C120" t="inlineStr">
        <is>
          <t>Föryngringsavverkning</t>
        </is>
      </c>
      <c r="D120" s="1" t="n">
        <v>44693</v>
      </c>
      <c r="E120" s="1" t="n">
        <v>46272</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4605-2025</t>
        </is>
      </c>
      <c r="B121" t="inlineStr">
        <is>
          <t>avverkningsanmälan</t>
        </is>
      </c>
      <c r="C121" t="inlineStr">
        <is>
          <t>Föryngringsavverkning</t>
        </is>
      </c>
      <c r="D121" s="1" t="n">
        <v>45687</v>
      </c>
      <c r="E121" s="1" t="n">
        <v>46272</v>
      </c>
      <c r="F121" t="inlineStr">
        <is>
          <t>SKÅNE LÄN</t>
        </is>
      </c>
      <c r="G121" t="inlineStr">
        <is>
          <t>ÄNGELHOLM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31720-2023</t>
        </is>
      </c>
      <c r="B122" t="inlineStr">
        <is>
          <t>avverkningsanmälan</t>
        </is>
      </c>
      <c r="C122" t="inlineStr">
        <is>
          <t>Föryngringsavverkning</t>
        </is>
      </c>
      <c r="D122" s="1" t="n">
        <v>45117</v>
      </c>
      <c r="E122" s="1" t="n">
        <v>46272</v>
      </c>
      <c r="F122" t="inlineStr">
        <is>
          <t>SKÅNE LÄN</t>
        </is>
      </c>
      <c r="G122" t="inlineStr">
        <is>
          <t>ÄNGELHOLM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43857-2025</t>
        </is>
      </c>
      <c r="B123" t="inlineStr">
        <is>
          <t>avverkningsanmälan</t>
        </is>
      </c>
      <c r="C123" t="inlineStr">
        <is>
          <t>Föryngringsavverkning</t>
        </is>
      </c>
      <c r="D123" s="1" t="n">
        <v>45912</v>
      </c>
      <c r="E123" s="1" t="n">
        <v>46272</v>
      </c>
      <c r="F123" t="inlineStr">
        <is>
          <t>SKÅNE LÄN</t>
        </is>
      </c>
      <c r="G123" t="inlineStr">
        <is>
          <t>ÄNGELHOLM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60227-2025</t>
        </is>
      </c>
      <c r="B124" t="inlineStr">
        <is>
          <t>avverkningsanmälan</t>
        </is>
      </c>
      <c r="C124" t="inlineStr">
        <is>
          <t>Föryngringsavverkning</t>
        </is>
      </c>
      <c r="D124" s="1" t="n">
        <v>45994</v>
      </c>
      <c r="E124" s="1" t="n">
        <v>46272</v>
      </c>
      <c r="F124" t="inlineStr">
        <is>
          <t>SKÅNE LÄN</t>
        </is>
      </c>
      <c r="G124" t="inlineStr">
        <is>
          <t>ÄNGELHOLM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16314-2024</t>
        </is>
      </c>
      <c r="B125" t="inlineStr">
        <is>
          <t>avverkningsanmälan</t>
        </is>
      </c>
      <c r="C125" t="inlineStr">
        <is>
          <t>Föryngringsavverkning</t>
        </is>
      </c>
      <c r="D125" s="1" t="n">
        <v>45407</v>
      </c>
      <c r="E125" s="1" t="n">
        <v>46272</v>
      </c>
      <c r="F125" t="inlineStr">
        <is>
          <t>SKÅNE LÄN</t>
        </is>
      </c>
      <c r="G125" t="inlineStr">
        <is>
          <t>ÄNGELHOLM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34514-2023</t>
        </is>
      </c>
      <c r="B126" t="inlineStr">
        <is>
          <t>avverkningsanmälan</t>
        </is>
      </c>
      <c r="C126" t="inlineStr">
        <is>
          <t>Föryngringsavverkning</t>
        </is>
      </c>
      <c r="D126" s="1" t="n">
        <v>45140</v>
      </c>
      <c r="E126" s="1" t="n">
        <v>46272</v>
      </c>
      <c r="F126" t="inlineStr">
        <is>
          <t>SKÅNE LÄN</t>
        </is>
      </c>
      <c r="G126" t="inlineStr">
        <is>
          <t>ÄNGELHOLM</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13278-2026</t>
        </is>
      </c>
      <c r="B127" t="inlineStr">
        <is>
          <t>avverkningsanmälan</t>
        </is>
      </c>
      <c r="C127" t="inlineStr">
        <is>
          <t>Föryngringsavverkning</t>
        </is>
      </c>
      <c r="D127" s="1" t="n">
        <v>46093</v>
      </c>
      <c r="E127" s="1" t="n">
        <v>46272</v>
      </c>
      <c r="F127" t="inlineStr">
        <is>
          <t>SKÅNE LÄN</t>
        </is>
      </c>
      <c r="G127" t="inlineStr">
        <is>
          <t>ÄNGELHOLM</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46613-2024</t>
        </is>
      </c>
      <c r="B128" t="inlineStr">
        <is>
          <t>avverkningsanmälan</t>
        </is>
      </c>
      <c r="C128" t="inlineStr">
        <is>
          <t>Föryngringsavverkning</t>
        </is>
      </c>
      <c r="D128" s="1" t="n">
        <v>45583</v>
      </c>
      <c r="E128" s="1" t="n">
        <v>46272</v>
      </c>
      <c r="F128" t="inlineStr">
        <is>
          <t>SKÅNE LÄN</t>
        </is>
      </c>
      <c r="G128" t="inlineStr">
        <is>
          <t>ÄNGELHOLM</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27097-2026</t>
        </is>
      </c>
      <c r="B129" t="inlineStr">
        <is>
          <t>avverkningsanmälan</t>
        </is>
      </c>
      <c r="C129" t="inlineStr">
        <is>
          <t>Föryngringsavverkning</t>
        </is>
      </c>
      <c r="D129" s="1" t="n">
        <v>46188</v>
      </c>
      <c r="E129" s="1" t="n">
        <v>46272</v>
      </c>
      <c r="F129" t="inlineStr">
        <is>
          <t>SKÅNE LÄN</t>
        </is>
      </c>
      <c r="G129" t="inlineStr">
        <is>
          <t>ÄNGELHOLM</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23976-2024</t>
        </is>
      </c>
      <c r="B130" t="inlineStr">
        <is>
          <t>avverkningsanmälan</t>
        </is>
      </c>
      <c r="C130" t="inlineStr">
        <is>
          <t>Föryngringsavverkning</t>
        </is>
      </c>
      <c r="D130" s="1" t="n">
        <v>45456</v>
      </c>
      <c r="E130" s="1" t="n">
        <v>46272</v>
      </c>
      <c r="F130" t="inlineStr">
        <is>
          <t>SKÅNE LÄN</t>
        </is>
      </c>
      <c r="G130" t="inlineStr">
        <is>
          <t>ÄNGELHOLM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40278-2023</t>
        </is>
      </c>
      <c r="B131" t="inlineStr">
        <is>
          <t>avverkningsanmälan</t>
        </is>
      </c>
      <c r="C131" t="inlineStr">
        <is>
          <t>Föryngringsavverkning</t>
        </is>
      </c>
      <c r="D131" s="1" t="n">
        <v>45169</v>
      </c>
      <c r="E131" s="1" t="n">
        <v>46272</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7871-2025</t>
        </is>
      </c>
      <c r="B132" t="inlineStr">
        <is>
          <t>avverkningsanmälan</t>
        </is>
      </c>
      <c r="C132" t="inlineStr">
        <is>
          <t>Föryngringsavverkning</t>
        </is>
      </c>
      <c r="D132" s="1" t="n">
        <v>45706</v>
      </c>
      <c r="E132" s="1" t="n">
        <v>46272</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32430-2023</t>
        </is>
      </c>
      <c r="B133" t="inlineStr">
        <is>
          <t>avverkningsanmälan</t>
        </is>
      </c>
      <c r="C133" t="inlineStr">
        <is>
          <t>Föryngringsavverkning</t>
        </is>
      </c>
      <c r="D133" s="1" t="n">
        <v>45120</v>
      </c>
      <c r="E133" s="1" t="n">
        <v>46272</v>
      </c>
      <c r="F133" t="inlineStr">
        <is>
          <t>SKÅNE LÄN</t>
        </is>
      </c>
      <c r="G133" t="inlineStr">
        <is>
          <t>ÄNGELHOLM</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29436-2024</t>
        </is>
      </c>
      <c r="B134" t="inlineStr">
        <is>
          <t>avverkningsanmälan</t>
        </is>
      </c>
      <c r="C134" t="inlineStr">
        <is>
          <t>Föryngringsavverkning</t>
        </is>
      </c>
      <c r="D134" s="1" t="n">
        <v>45483</v>
      </c>
      <c r="E134" s="1" t="n">
        <v>46272</v>
      </c>
      <c r="F134" t="inlineStr">
        <is>
          <t>SKÅNE LÄN</t>
        </is>
      </c>
      <c r="G134" t="inlineStr">
        <is>
          <t>ÄNGELHOLM</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58150-2024</t>
        </is>
      </c>
      <c r="B135" t="inlineStr">
        <is>
          <t>avverkningsanmälan</t>
        </is>
      </c>
      <c r="C135" t="inlineStr">
        <is>
          <t>Föryngringsavverkning</t>
        </is>
      </c>
      <c r="D135" s="1" t="n">
        <v>45632</v>
      </c>
      <c r="E135" s="1" t="n">
        <v>46272</v>
      </c>
      <c r="F135" t="inlineStr">
        <is>
          <t>SKÅNE LÄN</t>
        </is>
      </c>
      <c r="G135" t="inlineStr">
        <is>
          <t>ÄNGELHOLM</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28264-2022</t>
        </is>
      </c>
      <c r="B136" t="inlineStr">
        <is>
          <t>avverkningsanmälan</t>
        </is>
      </c>
      <c r="C136" t="inlineStr">
        <is>
          <t>Föryngringsavverkning</t>
        </is>
      </c>
      <c r="D136" s="1" t="n">
        <v>44746</v>
      </c>
      <c r="E136" s="1" t="n">
        <v>46272</v>
      </c>
      <c r="F136" t="inlineStr">
        <is>
          <t>SKÅNE LÄN</t>
        </is>
      </c>
      <c r="G136" t="inlineStr">
        <is>
          <t>ÄNGELHOLM</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29369-2026</t>
        </is>
      </c>
      <c r="B137" t="inlineStr">
        <is>
          <t>avverkningsanmälan</t>
        </is>
      </c>
      <c r="C137" t="inlineStr">
        <is>
          <t>Föryngringsavverkning</t>
        </is>
      </c>
      <c r="D137" s="1" t="n">
        <v>46203</v>
      </c>
      <c r="E137" s="1" t="n">
        <v>46272</v>
      </c>
      <c r="F137" t="inlineStr">
        <is>
          <t>SKÅNE LÄN</t>
        </is>
      </c>
      <c r="G137" t="inlineStr">
        <is>
          <t>ÄNGELHOLM</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31709-2023</t>
        </is>
      </c>
      <c r="B138" t="inlineStr">
        <is>
          <t>avverkningsanmälan</t>
        </is>
      </c>
      <c r="C138" t="inlineStr">
        <is>
          <t>Föryngringsavverkning</t>
        </is>
      </c>
      <c r="D138" s="1" t="n">
        <v>45117</v>
      </c>
      <c r="E138" s="1" t="n">
        <v>46272</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8665-2022</t>
        </is>
      </c>
      <c r="B139" t="inlineStr">
        <is>
          <t>avverkningsanmälan</t>
        </is>
      </c>
      <c r="C139" t="inlineStr">
        <is>
          <t>Föryngringsavverkning</t>
        </is>
      </c>
      <c r="D139" s="1" t="n">
        <v>44613</v>
      </c>
      <c r="E139" s="1" t="n">
        <v>46272</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60-2024</t>
        </is>
      </c>
      <c r="B140" t="inlineStr">
        <is>
          <t>avverkningsanmälan</t>
        </is>
      </c>
      <c r="C140" t="inlineStr">
        <is>
          <t>Föryngringsavverkning</t>
        </is>
      </c>
      <c r="D140" s="1" t="n">
        <v>45293</v>
      </c>
      <c r="E140" s="1" t="n">
        <v>46272</v>
      </c>
      <c r="F140" t="inlineStr">
        <is>
          <t>SKÅNE LÄN</t>
        </is>
      </c>
      <c r="G140" t="inlineStr">
        <is>
          <t>ÄNGELHOLM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607-2024</t>
        </is>
      </c>
      <c r="B141" t="inlineStr">
        <is>
          <t>avverkningsanmälan</t>
        </is>
      </c>
      <c r="C141" t="inlineStr">
        <is>
          <t>Föryngringsavverkning</t>
        </is>
      </c>
      <c r="D141" s="1" t="n">
        <v>45299</v>
      </c>
      <c r="E141" s="1" t="n">
        <v>46272</v>
      </c>
      <c r="F141" t="inlineStr">
        <is>
          <t>SKÅNE LÄN</t>
        </is>
      </c>
      <c r="G141" t="inlineStr">
        <is>
          <t>ÄNGELHOLM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49206-2024</t>
        </is>
      </c>
      <c r="B142" t="inlineStr">
        <is>
          <t>avverkningsanmälan</t>
        </is>
      </c>
      <c r="C142" t="inlineStr">
        <is>
          <t>Föryngringsavverkning</t>
        </is>
      </c>
      <c r="D142" s="1" t="n">
        <v>45595</v>
      </c>
      <c r="E142" s="1" t="n">
        <v>46272</v>
      </c>
      <c r="F142" t="inlineStr">
        <is>
          <t>SKÅNE LÄN</t>
        </is>
      </c>
      <c r="G142" t="inlineStr">
        <is>
          <t>ÄNGELHOLM</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19503-2022</t>
        </is>
      </c>
      <c r="B143" t="inlineStr">
        <is>
          <t>avverkningsanmälan</t>
        </is>
      </c>
      <c r="C143" t="inlineStr">
        <is>
          <t>Föryngringsavverkning</t>
        </is>
      </c>
      <c r="D143" s="1" t="n">
        <v>44693</v>
      </c>
      <c r="E143" s="1" t="n">
        <v>46272</v>
      </c>
      <c r="F143" t="inlineStr">
        <is>
          <t>SKÅNE LÄN</t>
        </is>
      </c>
      <c r="G143" t="inlineStr">
        <is>
          <t>ÄNGELHOLM</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57923-2024</t>
        </is>
      </c>
      <c r="B144" t="inlineStr">
        <is>
          <t>avverkningsanmälan</t>
        </is>
      </c>
      <c r="C144" t="inlineStr">
        <is>
          <t>Föryngringsavverkning</t>
        </is>
      </c>
      <c r="D144" s="1" t="n">
        <v>45631</v>
      </c>
      <c r="E144" s="1" t="n">
        <v>46272</v>
      </c>
      <c r="F144" t="inlineStr">
        <is>
          <t>SKÅNE LÄN</t>
        </is>
      </c>
      <c r="G144" t="inlineStr">
        <is>
          <t>ÄNGELHOLM</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19255-2026</t>
        </is>
      </c>
      <c r="B145" t="inlineStr">
        <is>
          <t>avverkningsanmälan</t>
        </is>
      </c>
      <c r="C145" t="inlineStr">
        <is>
          <t>Föryngringsavverkning</t>
        </is>
      </c>
      <c r="D145" s="1" t="n">
        <v>46132</v>
      </c>
      <c r="E145" s="1" t="n">
        <v>46272</v>
      </c>
      <c r="F145" t="inlineStr">
        <is>
          <t>SKÅNE LÄN</t>
        </is>
      </c>
      <c r="G145" t="inlineStr">
        <is>
          <t>ÄNGELHOLM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19256-2026</t>
        </is>
      </c>
      <c r="B146" t="inlineStr">
        <is>
          <t>avverkningsanmälan</t>
        </is>
      </c>
      <c r="C146" t="inlineStr">
        <is>
          <t>Föryngringsavverkning</t>
        </is>
      </c>
      <c r="D146" s="1" t="n">
        <v>46132</v>
      </c>
      <c r="E146" s="1" t="n">
        <v>46272</v>
      </c>
      <c r="F146" t="inlineStr">
        <is>
          <t>SKÅNE LÄN</t>
        </is>
      </c>
      <c r="G146" t="inlineStr">
        <is>
          <t>ÄNGELHOLM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20635-2024</t>
        </is>
      </c>
      <c r="B147" t="inlineStr">
        <is>
          <t>avverkningsanmälan</t>
        </is>
      </c>
      <c r="C147" t="inlineStr">
        <is>
          <t>Föryngringsavverkning</t>
        </is>
      </c>
      <c r="D147" s="1" t="n">
        <v>45436</v>
      </c>
      <c r="E147" s="1" t="n">
        <v>46272</v>
      </c>
      <c r="F147" t="inlineStr">
        <is>
          <t>SKÅNE LÄN</t>
        </is>
      </c>
      <c r="G147" t="inlineStr">
        <is>
          <t>ÄNGELHOLM</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23980-2024</t>
        </is>
      </c>
      <c r="B148" t="inlineStr">
        <is>
          <t>avverkningsanmälan</t>
        </is>
      </c>
      <c r="C148" t="inlineStr">
        <is>
          <t>Föryngringsavverkning</t>
        </is>
      </c>
      <c r="D148" s="1" t="n">
        <v>45456</v>
      </c>
      <c r="E148" s="1" t="n">
        <v>46272</v>
      </c>
      <c r="F148" t="inlineStr">
        <is>
          <t>SKÅNE LÄN</t>
        </is>
      </c>
      <c r="G148" t="inlineStr">
        <is>
          <t>ÄNGELHOLM</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55748-2024</t>
        </is>
      </c>
      <c r="B149" t="inlineStr">
        <is>
          <t>avverkningsanmälan</t>
        </is>
      </c>
      <c r="C149" t="inlineStr">
        <is>
          <t>Föryngringsavverkning</t>
        </is>
      </c>
      <c r="D149" s="1" t="n">
        <v>45623</v>
      </c>
      <c r="E149" s="1" t="n">
        <v>46272</v>
      </c>
      <c r="F149" t="inlineStr">
        <is>
          <t>SKÅNE LÄN</t>
        </is>
      </c>
      <c r="G149" t="inlineStr">
        <is>
          <t>ÄNGELHOLM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26986-2026</t>
        </is>
      </c>
      <c r="B150" t="inlineStr">
        <is>
          <t>avverkningsanmälan</t>
        </is>
      </c>
      <c r="C150" t="inlineStr">
        <is>
          <t>Föryngringsavverkning</t>
        </is>
      </c>
      <c r="D150" s="1" t="n">
        <v>46185</v>
      </c>
      <c r="E150" s="1" t="n">
        <v>46272</v>
      </c>
      <c r="F150" t="inlineStr">
        <is>
          <t>SKÅNE LÄN</t>
        </is>
      </c>
      <c r="G150" t="inlineStr">
        <is>
          <t>ÄNGELHOLM</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48197-2024</t>
        </is>
      </c>
      <c r="B151" t="inlineStr">
        <is>
          <t>avverkningsanmälan</t>
        </is>
      </c>
      <c r="C151" t="inlineStr">
        <is>
          <t>Föryngringsavverkning</t>
        </is>
      </c>
      <c r="D151" s="1" t="n">
        <v>45590</v>
      </c>
      <c r="E151" s="1" t="n">
        <v>46272</v>
      </c>
      <c r="F151" t="inlineStr">
        <is>
          <t>SKÅNE LÄN</t>
        </is>
      </c>
      <c r="G151" t="inlineStr">
        <is>
          <t>ÄNGELHOLM</t>
        </is>
      </c>
      <c r="I151" t="n">
        <v>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26978-2026</t>
        </is>
      </c>
      <c r="B152" t="inlineStr">
        <is>
          <t>avverkningsanmälan</t>
        </is>
      </c>
      <c r="C152" t="inlineStr">
        <is>
          <t>Föryngringsavverkning</t>
        </is>
      </c>
      <c r="D152" s="1" t="n">
        <v>46185</v>
      </c>
      <c r="E152" s="1" t="n">
        <v>46272</v>
      </c>
      <c r="F152" t="inlineStr">
        <is>
          <t>SKÅNE LÄN</t>
        </is>
      </c>
      <c r="G152" t="inlineStr">
        <is>
          <t>ÄNGELHOLM</t>
        </is>
      </c>
      <c r="I152" t="n">
        <v>7.7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31576-2026</t>
        </is>
      </c>
      <c r="B153" t="inlineStr">
        <is>
          <t>avverkningsanmälan</t>
        </is>
      </c>
      <c r="C153" t="inlineStr">
        <is>
          <t>Föryngringsavverkning</t>
        </is>
      </c>
      <c r="D153" s="1" t="n">
        <v>46224</v>
      </c>
      <c r="E153" s="1" t="n">
        <v>46272</v>
      </c>
      <c r="F153" t="inlineStr">
        <is>
          <t>SKÅNE LÄN</t>
        </is>
      </c>
      <c r="G153" t="inlineStr">
        <is>
          <t>ÄNGELHOLM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36001-2026</t>
        </is>
      </c>
      <c r="B154" t="inlineStr">
        <is>
          <t>avverkningsanmälan</t>
        </is>
      </c>
      <c r="C154" t="inlineStr">
        <is>
          <t>Föryngringsavverkning</t>
        </is>
      </c>
      <c r="D154" s="1" t="n">
        <v>46266</v>
      </c>
      <c r="E154" s="1" t="n">
        <v>46272</v>
      </c>
      <c r="F154" t="inlineStr">
        <is>
          <t>SKÅNE LÄN</t>
        </is>
      </c>
      <c r="G154" t="inlineStr">
        <is>
          <t>ÄNGELHOLM</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35912-2026</t>
        </is>
      </c>
      <c r="B155" t="inlineStr">
        <is>
          <t>avverkningsanmälan</t>
        </is>
      </c>
      <c r="C155" t="inlineStr">
        <is>
          <t>Föryngringsavverkning</t>
        </is>
      </c>
      <c r="D155" s="1" t="n">
        <v>46266</v>
      </c>
      <c r="E155" s="1" t="n">
        <v>46272</v>
      </c>
      <c r="F155" t="inlineStr">
        <is>
          <t>SKÅNE LÄN</t>
        </is>
      </c>
      <c r="G155" t="inlineStr">
        <is>
          <t>ÄNGELHOLM</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35677-2026</t>
        </is>
      </c>
      <c r="B156" t="inlineStr">
        <is>
          <t>avverkningsanmälan</t>
        </is>
      </c>
      <c r="C156" t="inlineStr">
        <is>
          <t>Föryngringsavverkning</t>
        </is>
      </c>
      <c r="D156" s="1" t="n">
        <v>46265</v>
      </c>
      <c r="E156" s="1" t="n">
        <v>46272</v>
      </c>
      <c r="F156" t="inlineStr">
        <is>
          <t>SKÅNE LÄN</t>
        </is>
      </c>
      <c r="G156" t="inlineStr">
        <is>
          <t>ÄNGELHOLM</t>
        </is>
      </c>
      <c r="I156" t="n">
        <v>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35680-2026</t>
        </is>
      </c>
      <c r="B157" t="inlineStr">
        <is>
          <t>avverkningsanmälan</t>
        </is>
      </c>
      <c r="C157" t="inlineStr">
        <is>
          <t>Föryngringsavverkning</t>
        </is>
      </c>
      <c r="D157" s="1" t="n">
        <v>46265</v>
      </c>
      <c r="E157" s="1" t="n">
        <v>46272</v>
      </c>
      <c r="F157" t="inlineStr">
        <is>
          <t>SKÅNE LÄN</t>
        </is>
      </c>
      <c r="G157" t="inlineStr">
        <is>
          <t>ÄNGELHOLM</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35684-2026</t>
        </is>
      </c>
      <c r="B158" t="inlineStr">
        <is>
          <t>avverkningsanmälan</t>
        </is>
      </c>
      <c r="C158" t="inlineStr">
        <is>
          <t>Föryngringsavverkning</t>
        </is>
      </c>
      <c r="D158" s="1" t="n">
        <v>46265</v>
      </c>
      <c r="E158" s="1" t="n">
        <v>46272</v>
      </c>
      <c r="F158" t="inlineStr">
        <is>
          <t>SKÅNE LÄN</t>
        </is>
      </c>
      <c r="G158" t="inlineStr">
        <is>
          <t>ÄNGELHOLM</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4250-2024</t>
        </is>
      </c>
      <c r="B159" t="inlineStr">
        <is>
          <t>samrådsanmälan</t>
        </is>
      </c>
      <c r="C159" t="inlineStr">
        <is>
          <t>Askåterföring</t>
        </is>
      </c>
      <c r="D159" s="1" t="n">
        <v>45582</v>
      </c>
      <c r="E159" s="1" t="n">
        <v>46272</v>
      </c>
      <c r="F159" t="inlineStr">
        <is>
          <t>SKÅNE LÄN</t>
        </is>
      </c>
      <c r="G159" t="inlineStr">
        <is>
          <t>ÄNGELHOLM</t>
        </is>
      </c>
      <c r="I159" t="n">
        <v>23.3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4255-2024</t>
        </is>
      </c>
      <c r="B160" t="inlineStr">
        <is>
          <t>samrådsanmälan</t>
        </is>
      </c>
      <c r="C160" t="inlineStr">
        <is>
          <t>Askåterföring</t>
        </is>
      </c>
      <c r="D160" s="1" t="n">
        <v>45582</v>
      </c>
      <c r="E160" s="1" t="n">
        <v>46272</v>
      </c>
      <c r="F160" t="inlineStr">
        <is>
          <t>SKÅNE LÄN</t>
        </is>
      </c>
      <c r="G160" t="inlineStr">
        <is>
          <t>ÄNGELHOLM</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4256-2024</t>
        </is>
      </c>
      <c r="B161" t="inlineStr">
        <is>
          <t>samrådsanmälan</t>
        </is>
      </c>
      <c r="C161" t="inlineStr">
        <is>
          <t>Askåterföring</t>
        </is>
      </c>
      <c r="D161" s="1" t="n">
        <v>45582</v>
      </c>
      <c r="E161" s="1" t="n">
        <v>46272</v>
      </c>
      <c r="F161" t="inlineStr">
        <is>
          <t>SKÅNE LÄN</t>
        </is>
      </c>
      <c r="G161" t="inlineStr">
        <is>
          <t>ÄNGELHOLM</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4258-2024</t>
        </is>
      </c>
      <c r="B162" t="inlineStr">
        <is>
          <t>samrådsanmälan</t>
        </is>
      </c>
      <c r="C162" t="inlineStr">
        <is>
          <t>Askåterföring</t>
        </is>
      </c>
      <c r="D162" s="1" t="n">
        <v>45582</v>
      </c>
      <c r="E162" s="1" t="n">
        <v>46272</v>
      </c>
      <c r="F162" t="inlineStr">
        <is>
          <t>SKÅNE LÄN</t>
        </is>
      </c>
      <c r="G162" t="inlineStr">
        <is>
          <t>ÄNGELHOLM</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9359-2021</t>
        </is>
      </c>
      <c r="B163" t="inlineStr">
        <is>
          <t>samrådsanmälan</t>
        </is>
      </c>
      <c r="C163" t="inlineStr">
        <is>
          <t>Annan skogsbruksåtgärd</t>
        </is>
      </c>
      <c r="D163" s="1" t="n">
        <v>44519</v>
      </c>
      <c r="E163" s="1" t="n">
        <v>46272</v>
      </c>
      <c r="F163" t="inlineStr">
        <is>
          <t>SKÅNE LÄN</t>
        </is>
      </c>
      <c r="G163" t="inlineStr">
        <is>
          <t>ÄNGELHOLM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3993-2023</t>
        </is>
      </c>
      <c r="B164" t="inlineStr">
        <is>
          <t>samrådsanmälan</t>
        </is>
      </c>
      <c r="C164" t="inlineStr">
        <is>
          <t>Askåterföring</t>
        </is>
      </c>
      <c r="D164" s="1" t="n">
        <v>45239</v>
      </c>
      <c r="E164" s="1" t="n">
        <v>46272</v>
      </c>
      <c r="F164" t="inlineStr">
        <is>
          <t>SKÅNE LÄN</t>
        </is>
      </c>
      <c r="G164" t="inlineStr">
        <is>
          <t>ÄNGELHOLM</t>
        </is>
      </c>
      <c r="I164" t="n">
        <v>11.8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2862-2023</t>
        </is>
      </c>
      <c r="B165" t="inlineStr">
        <is>
          <t>samrådsanmälan</t>
        </is>
      </c>
      <c r="C165" t="inlineStr">
        <is>
          <t>Askåterföring</t>
        </is>
      </c>
      <c r="D165" s="1" t="n">
        <v>45168</v>
      </c>
      <c r="E165" s="1" t="n">
        <v>46272</v>
      </c>
      <c r="F165" t="inlineStr">
        <is>
          <t>SKÅNE LÄN</t>
        </is>
      </c>
      <c r="G165" t="inlineStr">
        <is>
          <t>ÄNGELHOLM</t>
        </is>
      </c>
      <c r="I165" t="n">
        <v>13.7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6022-2022</t>
        </is>
      </c>
      <c r="B166" t="inlineStr">
        <is>
          <t>samrådsanmälan</t>
        </is>
      </c>
      <c r="C166" t="inlineStr">
        <is>
          <t>Askåterföring</t>
        </is>
      </c>
      <c r="D166" s="1" t="n">
        <v>44861</v>
      </c>
      <c r="E166" s="1" t="n">
        <v>46272</v>
      </c>
      <c r="F166" t="inlineStr">
        <is>
          <t>SKÅNE LÄN</t>
        </is>
      </c>
      <c r="G166" t="inlineStr">
        <is>
          <t>ÄNGELHOLM</t>
        </is>
      </c>
      <c r="I166" t="n">
        <v>21.4</v>
      </c>
      <c r="J166" t="n">
        <v>0</v>
      </c>
      <c r="K166" t="n">
        <v>0</v>
      </c>
      <c r="L166" t="n">
        <v>0</v>
      </c>
      <c r="M166" t="n">
        <v>0</v>
      </c>
      <c r="N166" t="n">
        <v>0</v>
      </c>
      <c r="O166" t="n">
        <v>0</v>
      </c>
      <c r="P166" t="n">
        <v>0</v>
      </c>
      <c r="Q166" t="n">
        <v>0</v>
      </c>
      <c r="R166" t="n">
        <v>0</v>
      </c>
      <c r="S166" t="n">
        <v>0</v>
      </c>
      <c r="T166" t="n">
        <v>0</v>
      </c>
      <c r="U166" t="n">
        <v>0</v>
      </c>
      <c r="V166" s="2" t="inlineStr"/>
    </row>
    <row r="167">
      <c r="A167" t="inlineStr">
        <is>
          <t>S 4254-2024</t>
        </is>
      </c>
      <c r="B167" t="inlineStr">
        <is>
          <t>samrådsanmälan</t>
        </is>
      </c>
      <c r="C167" t="inlineStr">
        <is>
          <t>Askåterföring</t>
        </is>
      </c>
      <c r="D167" s="1" t="n">
        <v>45582</v>
      </c>
      <c r="E167" s="1" t="n">
        <v>46272</v>
      </c>
      <c r="F167" t="inlineStr">
        <is>
          <t>SKÅNE LÄN</t>
        </is>
      </c>
      <c r="G167" t="inlineStr">
        <is>
          <t>ÄNGELHOLM</t>
        </is>
      </c>
      <c r="I167" t="n">
        <v>9.699999999999999</v>
      </c>
      <c r="J167" t="n">
        <v>0</v>
      </c>
      <c r="K167" t="n">
        <v>0</v>
      </c>
      <c r="L167" t="n">
        <v>0</v>
      </c>
      <c r="M167" t="n">
        <v>0</v>
      </c>
      <c r="N167" t="n">
        <v>0</v>
      </c>
      <c r="O167" t="n">
        <v>0</v>
      </c>
      <c r="P167" t="n">
        <v>0</v>
      </c>
      <c r="Q167" t="n">
        <v>0</v>
      </c>
      <c r="R167" t="n">
        <v>0</v>
      </c>
      <c r="S167" t="n">
        <v>0</v>
      </c>
      <c r="T167" t="n">
        <v>0</v>
      </c>
      <c r="U167" t="n">
        <v>0</v>
      </c>
      <c r="V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2026-09-07T02:07:56Z</dcterms:created>
  <dcterms:modified xmlns:dcterms="http://purl.org/dc/terms/" xmlns:xsi="http://www.w3.org/2001/XMLSchema-instance" xsi:type="dcterms:W3CDTF">2026-09-07T02:07:56Z</dcterms:modified>
</cp:coreProperties>
</file>