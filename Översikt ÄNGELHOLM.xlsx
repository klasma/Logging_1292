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46277</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46277</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46277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46277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46277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46277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46277</v>
      </c>
      <c r="F15" t="inlineStr">
        <is>
          <t>SKÅNE LÄN</t>
        </is>
      </c>
      <c r="G15" t="inlineStr">
        <is>
          <t>ÄNGELHOLM</t>
        </is>
      </c>
      <c r="I15" t="n">
        <v>8.9</v>
      </c>
      <c r="J15" t="n">
        <v>4</v>
      </c>
      <c r="K15" t="n">
        <v>1</v>
      </c>
      <c r="L15" t="n">
        <v>1</v>
      </c>
      <c r="M15" t="n">
        <v>1</v>
      </c>
      <c r="N15" t="n">
        <v>0</v>
      </c>
      <c r="O15" t="n">
        <v>0</v>
      </c>
      <c r="P15" t="n">
        <v>0</v>
      </c>
      <c r="Q15" t="n">
        <v>2</v>
      </c>
      <c r="R15" t="n">
        <v>1</v>
      </c>
      <c r="S15" t="n">
        <v>5</v>
      </c>
      <c r="T15" t="n">
        <v>7</v>
      </c>
      <c r="U15" t="n">
        <v>6</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46277</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46277</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28874-2023</t>
        </is>
      </c>
      <c r="B18" t="inlineStr">
        <is>
          <t>avverkningsanmälan</t>
        </is>
      </c>
      <c r="C18" t="inlineStr">
        <is>
          <t>Föryngringsavverkning</t>
        </is>
      </c>
      <c r="D18" s="1" t="n">
        <v>45104</v>
      </c>
      <c r="E18" s="1" t="n">
        <v>46277</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46277</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50684-2023</t>
        </is>
      </c>
      <c r="B20" t="inlineStr">
        <is>
          <t>avverkningsanmälan</t>
        </is>
      </c>
      <c r="C20" t="inlineStr">
        <is>
          <t>Föryngringsavverkning</t>
        </is>
      </c>
      <c r="D20" s="1" t="n">
        <v>45210</v>
      </c>
      <c r="E20" s="1" t="n">
        <v>46277</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46277</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905-2024</t>
        </is>
      </c>
      <c r="B22" t="inlineStr">
        <is>
          <t>avverkningsanmälan</t>
        </is>
      </c>
      <c r="C22" t="inlineStr">
        <is>
          <t>Föryngringsavverkning</t>
        </is>
      </c>
      <c r="D22" s="1" t="n">
        <v>45301</v>
      </c>
      <c r="E22" s="1" t="n">
        <v>46277</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3317-2026</t>
        </is>
      </c>
      <c r="B23" t="inlineStr">
        <is>
          <t>avverkningsanmälan</t>
        </is>
      </c>
      <c r="C23" t="inlineStr">
        <is>
          <t>Föryngringsavverkning</t>
        </is>
      </c>
      <c r="D23" s="1" t="n">
        <v>46041</v>
      </c>
      <c r="E23" s="1" t="n">
        <v>46277</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18559-2025</t>
        </is>
      </c>
      <c r="B24" t="inlineStr">
        <is>
          <t>avverkningsanmälan</t>
        </is>
      </c>
      <c r="C24" t="inlineStr">
        <is>
          <t>Föryngringsavverkning</t>
        </is>
      </c>
      <c r="D24" s="1" t="n">
        <v>45763</v>
      </c>
      <c r="E24" s="1" t="n">
        <v>46277</v>
      </c>
      <c r="F24" t="inlineStr">
        <is>
          <t>SKÅNE LÄN</t>
        </is>
      </c>
      <c r="G24" t="inlineStr">
        <is>
          <t>ÄNGELHOLM</t>
        </is>
      </c>
      <c r="I24" t="n">
        <v>3</v>
      </c>
      <c r="J24" t="n">
        <v>3</v>
      </c>
      <c r="K24" t="n">
        <v>0</v>
      </c>
      <c r="L24" t="n">
        <v>2</v>
      </c>
      <c r="M24" t="n">
        <v>0</v>
      </c>
      <c r="N24" t="n">
        <v>0</v>
      </c>
      <c r="O24" t="n">
        <v>0</v>
      </c>
      <c r="P24" t="n">
        <v>0</v>
      </c>
      <c r="Q24" t="n">
        <v>2</v>
      </c>
      <c r="R24" t="n">
        <v>0</v>
      </c>
      <c r="S24" t="n">
        <v>3</v>
      </c>
      <c r="T24" t="n">
        <v>3</v>
      </c>
      <c r="U24" t="n">
        <v>3</v>
      </c>
      <c r="V24" s="2" t="inlineStr">
        <is>
          <t>Grönsångare
Gulsparv
Gröngöling</t>
        </is>
      </c>
      <c r="W24">
        <f>HYPERLINK("https://klasma.github.io/Logging_1292/artfynd/A 18559-2025 artfynd.xlsx", "A 18559-2025")</f>
        <v/>
      </c>
      <c r="X24">
        <f>HYPERLINK("https://klasma.github.io/Logging_1292/kartor/A 18559-2025 karta.png", "A 18559-2025")</f>
        <v/>
      </c>
      <c r="Y24">
        <f>HYPERLINK("https://klasma.github.io/Logging_1292/kartor_geotiff/A 18559-2025 georefererad karta.tif", "A 18559-2025")</f>
        <v/>
      </c>
      <c r="AA24">
        <f>HYPERLINK("https://klasma.github.io/Logging_1292/klagomål/A 18559-2025 FSC-klagomål.docx", "A 18559-2025")</f>
        <v/>
      </c>
      <c r="AB24">
        <f>HYPERLINK("https://klasma.github.io/Logging_1292/klagomålsmail/A 18559-2025 FSC-klagomål mail.docx", "A 18559-2025")</f>
        <v/>
      </c>
      <c r="AC24">
        <f>HYPERLINK("https://klasma.github.io/Logging_1292/tillsyn/A 18559-2025 tillsynsbegäran.docx", "A 18559-2025")</f>
        <v/>
      </c>
      <c r="AD24">
        <f>HYPERLINK("https://klasma.github.io/Logging_1292/tillsynsmail/A 18559-2025 tillsynsbegäran mail.docx", "A 18559-2025")</f>
        <v/>
      </c>
      <c r="AE24">
        <f>HYPERLINK("https://klasma.github.io/Logging_1292/fåglar/A 18559-2025 prioriterade fågelarter.docx", "A 18559-2025")</f>
        <v/>
      </c>
    </row>
    <row r="25" ht="15" customHeight="1">
      <c r="A25" t="inlineStr">
        <is>
          <t>A 27544-2024</t>
        </is>
      </c>
      <c r="B25" t="inlineStr">
        <is>
          <t>avverkningsanmälan</t>
        </is>
      </c>
      <c r="C25" t="inlineStr">
        <is>
          <t>Föryngringsavverkning</t>
        </is>
      </c>
      <c r="D25" s="1" t="n">
        <v>45474</v>
      </c>
      <c r="E25" s="1" t="n">
        <v>46277</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33520-2025</t>
        </is>
      </c>
      <c r="B26" t="inlineStr">
        <is>
          <t>avverkningsanmälan</t>
        </is>
      </c>
      <c r="C26" t="inlineStr">
        <is>
          <t>Föryngringsavverkning</t>
        </is>
      </c>
      <c r="D26" s="1" t="n">
        <v>45841</v>
      </c>
      <c r="E26" s="1" t="n">
        <v>46277</v>
      </c>
      <c r="F26" t="inlineStr">
        <is>
          <t>SKÅNE LÄN</t>
        </is>
      </c>
      <c r="G26" t="inlineStr">
        <is>
          <t>ÄNGELHOLM</t>
        </is>
      </c>
      <c r="I26" t="n">
        <v>2.4</v>
      </c>
      <c r="J26" t="n">
        <v>1</v>
      </c>
      <c r="K26" t="n">
        <v>0</v>
      </c>
      <c r="L26" t="n">
        <v>1</v>
      </c>
      <c r="M26" t="n">
        <v>1</v>
      </c>
      <c r="N26" t="n">
        <v>0</v>
      </c>
      <c r="O26" t="n">
        <v>0</v>
      </c>
      <c r="P26" t="n">
        <v>0</v>
      </c>
      <c r="Q26" t="n">
        <v>2</v>
      </c>
      <c r="R26" t="n">
        <v>1</v>
      </c>
      <c r="S26" t="n">
        <v>2</v>
      </c>
      <c r="T26" t="n">
        <v>2</v>
      </c>
      <c r="U26" t="n">
        <v>2</v>
      </c>
      <c r="V26" s="2" t="inlineStr">
        <is>
          <t>Småvänderot
Entita</t>
        </is>
      </c>
      <c r="W26">
        <f>HYPERLINK("https://klasma.github.io/Logging_1292/artfynd/A 33520-2025 artfynd.xlsx", "A 33520-2025")</f>
        <v/>
      </c>
      <c r="X26">
        <f>HYPERLINK("https://klasma.github.io/Logging_1292/kartor/A 33520-2025 karta.png", "A 33520-2025")</f>
        <v/>
      </c>
      <c r="Y26">
        <f>HYPERLINK("https://klasma.github.io/Logging_1292/kartor_geotiff/A 33520-2025 georefererad karta.tif", "A 33520-2025")</f>
        <v/>
      </c>
      <c r="AA26">
        <f>HYPERLINK("https://klasma.github.io/Logging_1292/klagomål/A 33520-2025 FSC-klagomål.docx", "A 33520-2025")</f>
        <v/>
      </c>
      <c r="AB26">
        <f>HYPERLINK("https://klasma.github.io/Logging_1292/klagomålsmail/A 33520-2025 FSC-klagomål mail.docx", "A 33520-2025")</f>
        <v/>
      </c>
      <c r="AC26">
        <f>HYPERLINK("https://klasma.github.io/Logging_1292/tillsyn/A 33520-2025 tillsynsbegäran.docx", "A 33520-2025")</f>
        <v/>
      </c>
      <c r="AD26">
        <f>HYPERLINK("https://klasma.github.io/Logging_1292/tillsynsmail/A 33520-2025 tillsynsbegäran mail.docx", "A 33520-2025")</f>
        <v/>
      </c>
      <c r="AE26">
        <f>HYPERLINK("https://klasma.github.io/Logging_1292/fåglar/A 33520-2025 prioriterade fågelarter.docx", "A 33520-2025")</f>
        <v/>
      </c>
    </row>
    <row r="27" ht="15" customHeight="1">
      <c r="A27" t="inlineStr">
        <is>
          <t>A 29157-2023</t>
        </is>
      </c>
      <c r="B27" t="inlineStr">
        <is>
          <t>avverkningsanmälan</t>
        </is>
      </c>
      <c r="C27" t="inlineStr">
        <is>
          <t>Föryngringsavverkning</t>
        </is>
      </c>
      <c r="D27" s="1" t="n">
        <v>45105</v>
      </c>
      <c r="E27" s="1" t="n">
        <v>46277</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A 74272-2021</t>
        </is>
      </c>
      <c r="B28" t="inlineStr">
        <is>
          <t>avverkningsanmälan</t>
        </is>
      </c>
      <c r="C28" t="inlineStr">
        <is>
          <t>Föryngringsavverkning</t>
        </is>
      </c>
      <c r="D28" s="1" t="n">
        <v>44553</v>
      </c>
      <c r="E28" s="1" t="n">
        <v>46277</v>
      </c>
      <c r="F28" t="inlineStr">
        <is>
          <t>SKÅNE LÄN</t>
        </is>
      </c>
      <c r="G28" t="inlineStr">
        <is>
          <t>ÄNGELHOLM</t>
        </is>
      </c>
      <c r="I28" t="n">
        <v>5</v>
      </c>
      <c r="J28" t="n">
        <v>2</v>
      </c>
      <c r="K28" t="n">
        <v>0</v>
      </c>
      <c r="L28" t="n">
        <v>1</v>
      </c>
      <c r="M28" t="n">
        <v>0</v>
      </c>
      <c r="N28" t="n">
        <v>0</v>
      </c>
      <c r="O28" t="n">
        <v>0</v>
      </c>
      <c r="P28" t="n">
        <v>0</v>
      </c>
      <c r="Q28" t="n">
        <v>1</v>
      </c>
      <c r="R28" t="n">
        <v>0</v>
      </c>
      <c r="S28" t="n">
        <v>2</v>
      </c>
      <c r="T28" t="n">
        <v>2</v>
      </c>
      <c r="U28" t="n">
        <v>2</v>
      </c>
      <c r="V28" s="2" t="inlineStr">
        <is>
          <t>Entita
Grönsiska</t>
        </is>
      </c>
      <c r="W28">
        <f>HYPERLINK("https://klasma.github.io/Logging_1292/artfynd/A 74272-2021 artfynd.xlsx", "A 74272-2021")</f>
        <v/>
      </c>
      <c r="X28">
        <f>HYPERLINK("https://klasma.github.io/Logging_1292/kartor/A 74272-2021 karta.png", "A 74272-2021")</f>
        <v/>
      </c>
      <c r="Y28">
        <f>HYPERLINK("https://klasma.github.io/Logging_1292/kartor_geotiff/A 74272-2021 georefererad karta.tif", "A 74272-2021")</f>
        <v/>
      </c>
      <c r="AA28">
        <f>HYPERLINK("https://klasma.github.io/Logging_1292/klagomål/A 74272-2021 FSC-klagomål.docx", "A 74272-2021")</f>
        <v/>
      </c>
      <c r="AB28">
        <f>HYPERLINK("https://klasma.github.io/Logging_1292/klagomålsmail/A 74272-2021 FSC-klagomål mail.docx", "A 74272-2021")</f>
        <v/>
      </c>
      <c r="AC28">
        <f>HYPERLINK("https://klasma.github.io/Logging_1292/tillsyn/A 74272-2021 tillsynsbegäran.docx", "A 74272-2021")</f>
        <v/>
      </c>
      <c r="AD28">
        <f>HYPERLINK("https://klasma.github.io/Logging_1292/tillsynsmail/A 74272-2021 tillsynsbegäran mail.docx", "A 74272-2021")</f>
        <v/>
      </c>
      <c r="AE28">
        <f>HYPERLINK("https://klasma.github.io/Logging_1292/fåglar/A 74272-2021 prioriterade fågelarter.docx", "A 74272-2021")</f>
        <v/>
      </c>
    </row>
    <row r="29" ht="15" customHeight="1">
      <c r="A29" t="inlineStr">
        <is>
          <t>S 687-2024</t>
        </is>
      </c>
      <c r="B29" t="inlineStr">
        <is>
          <t>samrådsanmälan</t>
        </is>
      </c>
      <c r="C29" t="inlineStr">
        <is>
          <t>Askåterföring</t>
        </is>
      </c>
      <c r="D29" s="1" t="n">
        <v>45359</v>
      </c>
      <c r="E29" s="1" t="n">
        <v>46277</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46277</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46277</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46277</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46277</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46277</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4088-2024</t>
        </is>
      </c>
      <c r="B35" t="inlineStr">
        <is>
          <t>avverkningsanmälan</t>
        </is>
      </c>
      <c r="C35" t="inlineStr">
        <is>
          <t>Föryngringsavverkning</t>
        </is>
      </c>
      <c r="D35" s="1" t="n">
        <v>45323</v>
      </c>
      <c r="E35" s="1" t="n">
        <v>46277</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50642-2023</t>
        </is>
      </c>
      <c r="B36" t="inlineStr">
        <is>
          <t>avverkningsanmälan</t>
        </is>
      </c>
      <c r="C36" t="inlineStr">
        <is>
          <t>Föryngringsavverkning</t>
        </is>
      </c>
      <c r="D36" s="1" t="n">
        <v>45210</v>
      </c>
      <c r="E36" s="1" t="n">
        <v>46277</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46277</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46277</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46277</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46277</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46277</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46487-2024</t>
        </is>
      </c>
      <c r="B42" t="inlineStr">
        <is>
          <t>avverkningsanmälan</t>
        </is>
      </c>
      <c r="C42" t="inlineStr">
        <is>
          <t>Föryngringsavverkning</t>
        </is>
      </c>
      <c r="D42" s="1" t="n">
        <v>45582</v>
      </c>
      <c r="E42" s="1" t="n">
        <v>46277</v>
      </c>
      <c r="F42" t="inlineStr">
        <is>
          <t>SKÅNE LÄN</t>
        </is>
      </c>
      <c r="G42" t="inlineStr">
        <is>
          <t>ÄNGELHOLM</t>
        </is>
      </c>
      <c r="I42" t="n">
        <v>5.8</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HYPERLINK("https://klasma.github.io/Logging_1292/artfynd/A 46487-2024 artfynd.xlsx", "A 46487-2024")</f>
        <v/>
      </c>
      <c r="X42">
        <f>HYPERLINK("https://klasma.github.io/Logging_1292/kartor/A 46487-2024 karta.png", "A 46487-2024")</f>
        <v/>
      </c>
      <c r="Y42">
        <f>HYPERLINK("https://klasma.github.io/Logging_1292/kartor_geotiff/A 46487-2024 georefererad karta.tif", "A 46487-2024")</f>
        <v/>
      </c>
      <c r="AA42">
        <f>HYPERLINK("https://klasma.github.io/Logging_1292/klagomål/A 46487-2024 FSC-klagomål.docx", "A 46487-2024")</f>
        <v/>
      </c>
      <c r="AB42">
        <f>HYPERLINK("https://klasma.github.io/Logging_1292/klagomålsmail/A 46487-2024 FSC-klagomål mail.docx", "A 46487-2024")</f>
        <v/>
      </c>
      <c r="AC42">
        <f>HYPERLINK("https://klasma.github.io/Logging_1292/tillsyn/A 46487-2024 tillsynsbegäran.docx", "A 46487-2024")</f>
        <v/>
      </c>
      <c r="AD42">
        <f>HYPERLINK("https://klasma.github.io/Logging_1292/tillsynsmail/A 46487-2024 tillsynsbegäran mail.docx", "A 46487-2024")</f>
        <v/>
      </c>
    </row>
    <row r="43" ht="15" customHeight="1">
      <c r="A43" t="inlineStr">
        <is>
          <t>S 1961-2023</t>
        </is>
      </c>
      <c r="B43" t="inlineStr">
        <is>
          <t>samrådsanmälan</t>
        </is>
      </c>
      <c r="C43" t="inlineStr">
        <is>
          <t>Askåterföring</t>
        </is>
      </c>
      <c r="D43" s="1" t="n">
        <v>45084</v>
      </c>
      <c r="E43" s="1" t="n">
        <v>46277</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46277</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46277</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46277</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46277</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46277</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46277</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46277</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46277</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46277</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46277</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46277</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46277</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46277</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46277</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46277</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8882-2025</t>
        </is>
      </c>
      <c r="B59" t="inlineStr">
        <is>
          <t>avverkningsanmälan</t>
        </is>
      </c>
      <c r="C59" t="inlineStr">
        <is>
          <t>Föryngringsavverkning</t>
        </is>
      </c>
      <c r="D59" s="1" t="n">
        <v>45713</v>
      </c>
      <c r="E59" s="1" t="n">
        <v>46277</v>
      </c>
      <c r="F59" t="inlineStr">
        <is>
          <t>SKÅNE LÄN</t>
        </is>
      </c>
      <c r="G59" t="inlineStr">
        <is>
          <t>ÄNGELHOLM</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46277</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46277</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46277</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46277</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46277</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31143-2024</t>
        </is>
      </c>
      <c r="B65" t="inlineStr">
        <is>
          <t>avverkningsanmälan</t>
        </is>
      </c>
      <c r="C65" t="inlineStr">
        <is>
          <t>Avverkning för annat ändamål</t>
        </is>
      </c>
      <c r="D65" s="1" t="n">
        <v>45502</v>
      </c>
      <c r="E65" s="1" t="n">
        <v>46277</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607-2024</t>
        </is>
      </c>
      <c r="B66" t="inlineStr">
        <is>
          <t>avverkningsanmälan</t>
        </is>
      </c>
      <c r="C66" t="inlineStr">
        <is>
          <t>Föryngringsavverkning</t>
        </is>
      </c>
      <c r="D66" s="1" t="n">
        <v>45299</v>
      </c>
      <c r="E66" s="1" t="n">
        <v>46277</v>
      </c>
      <c r="F66" t="inlineStr">
        <is>
          <t>SKÅNE LÄN</t>
        </is>
      </c>
      <c r="G66" t="inlineStr">
        <is>
          <t>ÄNGELHOLM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54709-2023</t>
        </is>
      </c>
      <c r="B67" t="inlineStr">
        <is>
          <t>avverkningsanmälan</t>
        </is>
      </c>
      <c r="C67" t="inlineStr">
        <is>
          <t>Föryngringsavverkning</t>
        </is>
      </c>
      <c r="D67" s="1" t="n">
        <v>45236</v>
      </c>
      <c r="E67" s="1" t="n">
        <v>46277</v>
      </c>
      <c r="F67" t="inlineStr">
        <is>
          <t>SKÅNE LÄN</t>
        </is>
      </c>
      <c r="G67" t="inlineStr">
        <is>
          <t>ÄNGELHOLM</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31720-2023</t>
        </is>
      </c>
      <c r="B68" t="inlineStr">
        <is>
          <t>avverkningsanmälan</t>
        </is>
      </c>
      <c r="C68" t="inlineStr">
        <is>
          <t>Föryngringsavverkning</t>
        </is>
      </c>
      <c r="D68" s="1" t="n">
        <v>45117</v>
      </c>
      <c r="E68" s="1" t="n">
        <v>46277</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55544-2022</t>
        </is>
      </c>
      <c r="B69" t="inlineStr">
        <is>
          <t>avverkningsanmälan</t>
        </is>
      </c>
      <c r="C69" t="inlineStr">
        <is>
          <t>Föryngringsavverkning</t>
        </is>
      </c>
      <c r="D69" s="1" t="n">
        <v>44887</v>
      </c>
      <c r="E69" s="1" t="n">
        <v>46277</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25669-2024</t>
        </is>
      </c>
      <c r="B70" t="inlineStr">
        <is>
          <t>avverkningsanmälan</t>
        </is>
      </c>
      <c r="C70" t="inlineStr">
        <is>
          <t>Föryngringsavverkning</t>
        </is>
      </c>
      <c r="D70" s="1" t="n">
        <v>45463</v>
      </c>
      <c r="E70" s="1" t="n">
        <v>46277</v>
      </c>
      <c r="F70" t="inlineStr">
        <is>
          <t>SKÅNE LÄN</t>
        </is>
      </c>
      <c r="G70" t="inlineStr">
        <is>
          <t>ÄNGELHOLM</t>
        </is>
      </c>
      <c r="I70" t="n">
        <v>17.9</v>
      </c>
      <c r="J70" t="n">
        <v>0</v>
      </c>
      <c r="K70" t="n">
        <v>0</v>
      </c>
      <c r="L70" t="n">
        <v>0</v>
      </c>
      <c r="M70" t="n">
        <v>0</v>
      </c>
      <c r="N70" t="n">
        <v>0</v>
      </c>
      <c r="O70" t="n">
        <v>0</v>
      </c>
      <c r="P70" t="n">
        <v>0</v>
      </c>
      <c r="Q70" t="n">
        <v>0</v>
      </c>
      <c r="R70" t="n">
        <v>0</v>
      </c>
      <c r="S70" t="n">
        <v>0</v>
      </c>
      <c r="T70" t="n">
        <v>0</v>
      </c>
      <c r="U70" t="n">
        <v>0</v>
      </c>
      <c r="V70" s="2" t="inlineStr"/>
    </row>
    <row r="71" ht="15" customHeight="1">
      <c r="A71" t="inlineStr">
        <is>
          <t>A 23976-2024</t>
        </is>
      </c>
      <c r="B71" t="inlineStr">
        <is>
          <t>avverkningsanmälan</t>
        </is>
      </c>
      <c r="C71" t="inlineStr">
        <is>
          <t>Föryngringsavverkning</t>
        </is>
      </c>
      <c r="D71" s="1" t="n">
        <v>45456</v>
      </c>
      <c r="E71" s="1" t="n">
        <v>46277</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27553-2023</t>
        </is>
      </c>
      <c r="B72" t="inlineStr">
        <is>
          <t>avverkningsanmälan</t>
        </is>
      </c>
      <c r="C72" t="inlineStr">
        <is>
          <t>Föryngringsavverkning</t>
        </is>
      </c>
      <c r="D72" s="1" t="n">
        <v>45097</v>
      </c>
      <c r="E72" s="1" t="n">
        <v>46277</v>
      </c>
      <c r="F72" t="inlineStr">
        <is>
          <t>SKÅNE LÄN</t>
        </is>
      </c>
      <c r="G72" t="inlineStr">
        <is>
          <t>ÄNGELHOLM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46277</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16419-2023</t>
        </is>
      </c>
      <c r="B74" t="inlineStr">
        <is>
          <t>avverkningsanmälan</t>
        </is>
      </c>
      <c r="C74" t="inlineStr">
        <is>
          <t>Föryngringsavverkning</t>
        </is>
      </c>
      <c r="D74" s="1" t="n">
        <v>45022</v>
      </c>
      <c r="E74" s="1" t="n">
        <v>46277</v>
      </c>
      <c r="F74" t="inlineStr">
        <is>
          <t>SKÅNE LÄN</t>
        </is>
      </c>
      <c r="G74" t="inlineStr">
        <is>
          <t>ÄNGELHOLM</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19503-2022</t>
        </is>
      </c>
      <c r="B75" t="inlineStr">
        <is>
          <t>avverkningsanmälan</t>
        </is>
      </c>
      <c r="C75" t="inlineStr">
        <is>
          <t>Föryngringsavverkning</t>
        </is>
      </c>
      <c r="D75" s="1" t="n">
        <v>44693</v>
      </c>
      <c r="E75" s="1" t="n">
        <v>46277</v>
      </c>
      <c r="F75" t="inlineStr">
        <is>
          <t>SKÅNE LÄN</t>
        </is>
      </c>
      <c r="G75" t="inlineStr">
        <is>
          <t>ÄNGELHOLM</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9055-2026</t>
        </is>
      </c>
      <c r="B76" t="inlineStr">
        <is>
          <t>avverkningsanmälan</t>
        </is>
      </c>
      <c r="C76" t="inlineStr">
        <is>
          <t>Föryngringsavverkning</t>
        </is>
      </c>
      <c r="D76" s="1" t="n">
        <v>46069</v>
      </c>
      <c r="E76" s="1" t="n">
        <v>46277</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32020-2025</t>
        </is>
      </c>
      <c r="B77" t="inlineStr">
        <is>
          <t>avverkningsanmälan</t>
        </is>
      </c>
      <c r="C77" t="inlineStr">
        <is>
          <t>Föryngringsavverkning</t>
        </is>
      </c>
      <c r="D77" s="1" t="n">
        <v>45835</v>
      </c>
      <c r="E77" s="1" t="n">
        <v>46277</v>
      </c>
      <c r="F77" t="inlineStr">
        <is>
          <t>SKÅNE LÄN</t>
        </is>
      </c>
      <c r="G77" t="inlineStr">
        <is>
          <t>ÄNGELHOLM</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46702-2024</t>
        </is>
      </c>
      <c r="B78" t="inlineStr">
        <is>
          <t>avverkningsanmälan</t>
        </is>
      </c>
      <c r="C78" t="inlineStr">
        <is>
          <t>Föryngringsavverkning</t>
        </is>
      </c>
      <c r="D78" s="1" t="n">
        <v>45583</v>
      </c>
      <c r="E78" s="1" t="n">
        <v>46277</v>
      </c>
      <c r="F78" t="inlineStr">
        <is>
          <t>SKÅNE LÄN</t>
        </is>
      </c>
      <c r="G78" t="inlineStr">
        <is>
          <t>ÄNGELHOLM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40287-2025</t>
        </is>
      </c>
      <c r="B79" t="inlineStr">
        <is>
          <t>avverkningsanmälan</t>
        </is>
      </c>
      <c r="C79" t="inlineStr">
        <is>
          <t>Föryngringsavverkning</t>
        </is>
      </c>
      <c r="D79" s="1" t="n">
        <v>45895</v>
      </c>
      <c r="E79" s="1" t="n">
        <v>46277</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13662-2025</t>
        </is>
      </c>
      <c r="B80" t="inlineStr">
        <is>
          <t>avverkningsanmälan</t>
        </is>
      </c>
      <c r="C80" t="inlineStr">
        <is>
          <t>Föryngringsavverkning</t>
        </is>
      </c>
      <c r="D80" s="1" t="n">
        <v>45736</v>
      </c>
      <c r="E80" s="1" t="n">
        <v>46277</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42826-2025</t>
        </is>
      </c>
      <c r="B81" t="inlineStr">
        <is>
          <t>avverkningsanmälan</t>
        </is>
      </c>
      <c r="C81" t="inlineStr">
        <is>
          <t>Föryngringsavverkning</t>
        </is>
      </c>
      <c r="D81" s="1" t="n">
        <v>45908</v>
      </c>
      <c r="E81" s="1" t="n">
        <v>46277</v>
      </c>
      <c r="F81" t="inlineStr">
        <is>
          <t>SKÅNE LÄN</t>
        </is>
      </c>
      <c r="G81" t="inlineStr">
        <is>
          <t>ÄNGELHOLM</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49206-2024</t>
        </is>
      </c>
      <c r="B82" t="inlineStr">
        <is>
          <t>avverkningsanmälan</t>
        </is>
      </c>
      <c r="C82" t="inlineStr">
        <is>
          <t>Föryngringsavverkning</t>
        </is>
      </c>
      <c r="D82" s="1" t="n">
        <v>45595</v>
      </c>
      <c r="E82" s="1" t="n">
        <v>46277</v>
      </c>
      <c r="F82" t="inlineStr">
        <is>
          <t>SKÅNE LÄN</t>
        </is>
      </c>
      <c r="G82" t="inlineStr">
        <is>
          <t>ÄNGELHOLM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31503-2023</t>
        </is>
      </c>
      <c r="B83" t="inlineStr">
        <is>
          <t>avverkningsanmälan</t>
        </is>
      </c>
      <c r="C83" t="inlineStr">
        <is>
          <t>Föryngringsavverkning</t>
        </is>
      </c>
      <c r="D83" s="1" t="n">
        <v>45115</v>
      </c>
      <c r="E83" s="1" t="n">
        <v>46277</v>
      </c>
      <c r="F83" t="inlineStr">
        <is>
          <t>SKÅNE LÄN</t>
        </is>
      </c>
      <c r="G83" t="inlineStr">
        <is>
          <t>ÄNGELHOLM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23328-2022</t>
        </is>
      </c>
      <c r="B84" t="inlineStr">
        <is>
          <t>avverkningsanmälan</t>
        </is>
      </c>
      <c r="C84" t="inlineStr">
        <is>
          <t>Föryngringsavverkning</t>
        </is>
      </c>
      <c r="D84" s="1" t="n">
        <v>44720</v>
      </c>
      <c r="E84" s="1" t="n">
        <v>46277</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32364-2023</t>
        </is>
      </c>
      <c r="B85" t="inlineStr">
        <is>
          <t>avverkningsanmälan</t>
        </is>
      </c>
      <c r="C85" t="inlineStr">
        <is>
          <t>Föryngringsavverkning</t>
        </is>
      </c>
      <c r="D85" s="1" t="n">
        <v>45120</v>
      </c>
      <c r="E85" s="1" t="n">
        <v>46277</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8139-2025</t>
        </is>
      </c>
      <c r="B86" t="inlineStr">
        <is>
          <t>avverkningsanmälan</t>
        </is>
      </c>
      <c r="C86" t="inlineStr">
        <is>
          <t>Föryngringsavverkning</t>
        </is>
      </c>
      <c r="D86" s="1" t="n">
        <v>45708</v>
      </c>
      <c r="E86" s="1" t="n">
        <v>46277</v>
      </c>
      <c r="F86" t="inlineStr">
        <is>
          <t>SKÅNE LÄN</t>
        </is>
      </c>
      <c r="G86" t="inlineStr">
        <is>
          <t>ÄNGELHOLM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52519-2025</t>
        </is>
      </c>
      <c r="B87" t="inlineStr">
        <is>
          <t>avverkningsanmälan</t>
        </is>
      </c>
      <c r="C87" t="inlineStr">
        <is>
          <t>Föryngringsavverkning</t>
        </is>
      </c>
      <c r="D87" s="1" t="n">
        <v>45954</v>
      </c>
      <c r="E87" s="1" t="n">
        <v>46277</v>
      </c>
      <c r="F87" t="inlineStr">
        <is>
          <t>SKÅNE LÄN</t>
        </is>
      </c>
      <c r="G87" t="inlineStr">
        <is>
          <t>ÄNGELHOLM</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40275-2023</t>
        </is>
      </c>
      <c r="B88" t="inlineStr">
        <is>
          <t>avverkningsanmälan</t>
        </is>
      </c>
      <c r="C88" t="inlineStr">
        <is>
          <t>Föryngringsavverkning</t>
        </is>
      </c>
      <c r="D88" s="1" t="n">
        <v>45169</v>
      </c>
      <c r="E88" s="1" t="n">
        <v>46277</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1644-2025</t>
        </is>
      </c>
      <c r="B89" t="inlineStr">
        <is>
          <t>avverkningsanmälan</t>
        </is>
      </c>
      <c r="C89" t="inlineStr">
        <is>
          <t>Föryngringsavverkning</t>
        </is>
      </c>
      <c r="D89" s="1" t="n">
        <v>45670</v>
      </c>
      <c r="E89" s="1" t="n">
        <v>46277</v>
      </c>
      <c r="F89" t="inlineStr">
        <is>
          <t>SKÅNE LÄN</t>
        </is>
      </c>
      <c r="G89" t="inlineStr">
        <is>
          <t>ÄNGELHOLM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55728-2025</t>
        </is>
      </c>
      <c r="B90" t="inlineStr">
        <is>
          <t>avverkningsanmälan</t>
        </is>
      </c>
      <c r="C90" t="inlineStr">
        <is>
          <t>Föryngringsavverkning</t>
        </is>
      </c>
      <c r="D90" s="1" t="n">
        <v>45972</v>
      </c>
      <c r="E90" s="1" t="n">
        <v>46277</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9803-2026</t>
        </is>
      </c>
      <c r="B91" t="inlineStr">
        <is>
          <t>avverkningsanmälan</t>
        </is>
      </c>
      <c r="C91" t="inlineStr">
        <is>
          <t>Föryngringsavverkning</t>
        </is>
      </c>
      <c r="D91" s="1" t="n">
        <v>46072</v>
      </c>
      <c r="E91" s="1" t="n">
        <v>46277</v>
      </c>
      <c r="F91" t="inlineStr">
        <is>
          <t>SKÅNE LÄN</t>
        </is>
      </c>
      <c r="G91" t="inlineStr">
        <is>
          <t>ÄNGELHOLM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24855-2024</t>
        </is>
      </c>
      <c r="B92" t="inlineStr">
        <is>
          <t>avverkningsanmälan</t>
        </is>
      </c>
      <c r="C92" t="inlineStr">
        <is>
          <t>Föryngringsavverkning</t>
        </is>
      </c>
      <c r="D92" s="1" t="n">
        <v>45461</v>
      </c>
      <c r="E92" s="1" t="n">
        <v>46277</v>
      </c>
      <c r="F92" t="inlineStr">
        <is>
          <t>SKÅNE LÄN</t>
        </is>
      </c>
      <c r="G92" t="inlineStr">
        <is>
          <t>ÄNGELHOLM</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57725-2025</t>
        </is>
      </c>
      <c r="B93" t="inlineStr">
        <is>
          <t>avverkningsanmälan</t>
        </is>
      </c>
      <c r="C93" t="inlineStr">
        <is>
          <t>Föryngringsavverkning</t>
        </is>
      </c>
      <c r="D93" s="1" t="n">
        <v>45981</v>
      </c>
      <c r="E93" s="1" t="n">
        <v>46277</v>
      </c>
      <c r="F93" t="inlineStr">
        <is>
          <t>SKÅNE LÄN</t>
        </is>
      </c>
      <c r="G93" t="inlineStr">
        <is>
          <t>ÄNGELHOLM</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7871-2025</t>
        </is>
      </c>
      <c r="B94" t="inlineStr">
        <is>
          <t>avverkningsanmälan</t>
        </is>
      </c>
      <c r="C94" t="inlineStr">
        <is>
          <t>Föryngringsavverkning</t>
        </is>
      </c>
      <c r="D94" s="1" t="n">
        <v>45706</v>
      </c>
      <c r="E94" s="1" t="n">
        <v>46277</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13243-2025</t>
        </is>
      </c>
      <c r="B95" t="inlineStr">
        <is>
          <t>avverkningsanmälan</t>
        </is>
      </c>
      <c r="C95" t="inlineStr">
        <is>
          <t>Föryngringsavverkning</t>
        </is>
      </c>
      <c r="D95" s="1" t="n">
        <v>45735</v>
      </c>
      <c r="E95" s="1" t="n">
        <v>46277</v>
      </c>
      <c r="F95" t="inlineStr">
        <is>
          <t>SKÅNE LÄN</t>
        </is>
      </c>
      <c r="G95" t="inlineStr">
        <is>
          <t>ÄNGELHOLM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6667-2025</t>
        </is>
      </c>
      <c r="B96" t="inlineStr">
        <is>
          <t>avverkningsanmälan</t>
        </is>
      </c>
      <c r="C96" t="inlineStr">
        <is>
          <t>Föryngringsavverkning</t>
        </is>
      </c>
      <c r="D96" s="1" t="n">
        <v>45700</v>
      </c>
      <c r="E96" s="1" t="n">
        <v>46277</v>
      </c>
      <c r="F96" t="inlineStr">
        <is>
          <t>SKÅNE LÄN</t>
        </is>
      </c>
      <c r="G96" t="inlineStr">
        <is>
          <t>ÄNGELHOLM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19650-2026</t>
        </is>
      </c>
      <c r="B97" t="inlineStr">
        <is>
          <t>avverkningsanmälan</t>
        </is>
      </c>
      <c r="C97" t="inlineStr">
        <is>
          <t>Föryngringsavverkning</t>
        </is>
      </c>
      <c r="D97" s="1" t="n">
        <v>46134</v>
      </c>
      <c r="E97" s="1" t="n">
        <v>46277</v>
      </c>
      <c r="F97" t="inlineStr">
        <is>
          <t>SKÅNE LÄN</t>
        </is>
      </c>
      <c r="G97" t="inlineStr">
        <is>
          <t>ÄNGELHOLM</t>
        </is>
      </c>
      <c r="I97" t="n">
        <v>8</v>
      </c>
      <c r="J97" t="n">
        <v>0</v>
      </c>
      <c r="K97" t="n">
        <v>0</v>
      </c>
      <c r="L97" t="n">
        <v>0</v>
      </c>
      <c r="M97" t="n">
        <v>0</v>
      </c>
      <c r="N97" t="n">
        <v>0</v>
      </c>
      <c r="O97" t="n">
        <v>0</v>
      </c>
      <c r="P97" t="n">
        <v>0</v>
      </c>
      <c r="Q97" t="n">
        <v>0</v>
      </c>
      <c r="R97" t="n">
        <v>0</v>
      </c>
      <c r="S97" t="n">
        <v>0</v>
      </c>
      <c r="T97" t="n">
        <v>0</v>
      </c>
      <c r="U97" t="n">
        <v>0</v>
      </c>
      <c r="V97" s="2" t="inlineStr"/>
    </row>
    <row r="98" ht="15" customHeight="1">
      <c r="A98" t="inlineStr">
        <is>
          <t>A 58137-2022</t>
        </is>
      </c>
      <c r="B98" t="inlineStr">
        <is>
          <t>avverkningsanmälan</t>
        </is>
      </c>
      <c r="C98" t="inlineStr">
        <is>
          <t>Föryngringsavverkning</t>
        </is>
      </c>
      <c r="D98" s="1" t="n">
        <v>44900</v>
      </c>
      <c r="E98" s="1" t="n">
        <v>46277</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46277</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7707-2025</t>
        </is>
      </c>
      <c r="B100" t="inlineStr">
        <is>
          <t>avverkningsanmälan</t>
        </is>
      </c>
      <c r="C100" t="inlineStr">
        <is>
          <t>Föryngringsavverkning</t>
        </is>
      </c>
      <c r="D100" s="1" t="n">
        <v>45705</v>
      </c>
      <c r="E100" s="1" t="n">
        <v>46277</v>
      </c>
      <c r="F100" t="inlineStr">
        <is>
          <t>SKÅNE LÄN</t>
        </is>
      </c>
      <c r="G100" t="inlineStr">
        <is>
          <t>ÄNGELHOLM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31502-2023</t>
        </is>
      </c>
      <c r="B101" t="inlineStr">
        <is>
          <t>avverkningsanmälan</t>
        </is>
      </c>
      <c r="C101" t="inlineStr">
        <is>
          <t>Föryngringsavverkning</t>
        </is>
      </c>
      <c r="D101" s="1" t="n">
        <v>45115</v>
      </c>
      <c r="E101" s="1" t="n">
        <v>46277</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58134-2022</t>
        </is>
      </c>
      <c r="B102" t="inlineStr">
        <is>
          <t>avverkningsanmälan</t>
        </is>
      </c>
      <c r="C102" t="inlineStr">
        <is>
          <t>Föryngringsavverkning</t>
        </is>
      </c>
      <c r="D102" s="1" t="n">
        <v>44900</v>
      </c>
      <c r="E102" s="1" t="n">
        <v>46277</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46286-2024</t>
        </is>
      </c>
      <c r="B103" t="inlineStr">
        <is>
          <t>avverkningsanmälan</t>
        </is>
      </c>
      <c r="C103" t="inlineStr">
        <is>
          <t>Föryngringsavverkning</t>
        </is>
      </c>
      <c r="D103" s="1" t="n">
        <v>45581</v>
      </c>
      <c r="E103" s="1" t="n">
        <v>46277</v>
      </c>
      <c r="F103" t="inlineStr">
        <is>
          <t>SKÅNE LÄN</t>
        </is>
      </c>
      <c r="G103" t="inlineStr">
        <is>
          <t>ÄNGELHOLM</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74214-2021</t>
        </is>
      </c>
      <c r="B104" t="inlineStr">
        <is>
          <t>avverkningsanmälan</t>
        </is>
      </c>
      <c r="C104" t="inlineStr">
        <is>
          <t>Föryngringsavverkning</t>
        </is>
      </c>
      <c r="D104" s="1" t="n">
        <v>44553</v>
      </c>
      <c r="E104" s="1" t="n">
        <v>46277</v>
      </c>
      <c r="F104" t="inlineStr">
        <is>
          <t>SKÅNE LÄN</t>
        </is>
      </c>
      <c r="G104" t="inlineStr">
        <is>
          <t>ÄNGELHOLM</t>
        </is>
      </c>
      <c r="I104" t="n">
        <v>19.8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7994-2023</t>
        </is>
      </c>
      <c r="B105" t="inlineStr">
        <is>
          <t>avverkningsanmälan</t>
        </is>
      </c>
      <c r="C105" t="inlineStr">
        <is>
          <t>Föryngringsavverkning</t>
        </is>
      </c>
      <c r="D105" s="1" t="n">
        <v>44973</v>
      </c>
      <c r="E105" s="1" t="n">
        <v>46277</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8665-2022</t>
        </is>
      </c>
      <c r="B106" t="inlineStr">
        <is>
          <t>avverkningsanmälan</t>
        </is>
      </c>
      <c r="C106" t="inlineStr">
        <is>
          <t>Föryngringsavverkning</t>
        </is>
      </c>
      <c r="D106" s="1" t="n">
        <v>44613</v>
      </c>
      <c r="E106" s="1" t="n">
        <v>46277</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18571-2025</t>
        </is>
      </c>
      <c r="B107" t="inlineStr">
        <is>
          <t>avverkningsanmälan</t>
        </is>
      </c>
      <c r="C107" t="inlineStr">
        <is>
          <t>Föryngringsavverkning</t>
        </is>
      </c>
      <c r="D107" s="1" t="n">
        <v>45763</v>
      </c>
      <c r="E107" s="1" t="n">
        <v>46277</v>
      </c>
      <c r="F107" t="inlineStr">
        <is>
          <t>SKÅNE LÄN</t>
        </is>
      </c>
      <c r="G107" t="inlineStr">
        <is>
          <t>ÄNGELHOLM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31709-2023</t>
        </is>
      </c>
      <c r="B108" t="inlineStr">
        <is>
          <t>avverkningsanmälan</t>
        </is>
      </c>
      <c r="C108" t="inlineStr">
        <is>
          <t>Föryngringsavverkning</t>
        </is>
      </c>
      <c r="D108" s="1" t="n">
        <v>45117</v>
      </c>
      <c r="E108" s="1" t="n">
        <v>46277</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23227-2023</t>
        </is>
      </c>
      <c r="B109" t="inlineStr">
        <is>
          <t>avverkningsanmälan</t>
        </is>
      </c>
      <c r="C109" t="inlineStr">
        <is>
          <t>Föryngringsavverkning</t>
        </is>
      </c>
      <c r="D109" s="1" t="n">
        <v>45075</v>
      </c>
      <c r="E109" s="1" t="n">
        <v>46277</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50652-2023</t>
        </is>
      </c>
      <c r="B110" t="inlineStr">
        <is>
          <t>avverkningsanmälan</t>
        </is>
      </c>
      <c r="C110" t="inlineStr">
        <is>
          <t>Föryngringsavverkning</t>
        </is>
      </c>
      <c r="D110" s="1" t="n">
        <v>45210</v>
      </c>
      <c r="E110" s="1" t="n">
        <v>46277</v>
      </c>
      <c r="F110" t="inlineStr">
        <is>
          <t>SKÅNE LÄN</t>
        </is>
      </c>
      <c r="G110" t="inlineStr">
        <is>
          <t>ÄNGELHOLM</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40278-2023</t>
        </is>
      </c>
      <c r="B111" t="inlineStr">
        <is>
          <t>avverkningsanmälan</t>
        </is>
      </c>
      <c r="C111" t="inlineStr">
        <is>
          <t>Föryngringsavverkning</t>
        </is>
      </c>
      <c r="D111" s="1" t="n">
        <v>45169</v>
      </c>
      <c r="E111" s="1" t="n">
        <v>46277</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31789-2023</t>
        </is>
      </c>
      <c r="B112" t="inlineStr">
        <is>
          <t>avverkningsanmälan</t>
        </is>
      </c>
      <c r="C112" t="inlineStr">
        <is>
          <t>Föryngringsavverkning</t>
        </is>
      </c>
      <c r="D112" s="1" t="n">
        <v>45118</v>
      </c>
      <c r="E112" s="1" t="n">
        <v>46277</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60227-2025</t>
        </is>
      </c>
      <c r="B113" t="inlineStr">
        <is>
          <t>avverkningsanmälan</t>
        </is>
      </c>
      <c r="C113" t="inlineStr">
        <is>
          <t>Föryngringsavverkning</t>
        </is>
      </c>
      <c r="D113" s="1" t="n">
        <v>45994</v>
      </c>
      <c r="E113" s="1" t="n">
        <v>46277</v>
      </c>
      <c r="F113" t="inlineStr">
        <is>
          <t>SKÅNE LÄN</t>
        </is>
      </c>
      <c r="G113" t="inlineStr">
        <is>
          <t>ÄNGELHOLM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46277</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46277</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46277</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13278-2026</t>
        </is>
      </c>
      <c r="B117" t="inlineStr">
        <is>
          <t>avverkningsanmälan</t>
        </is>
      </c>
      <c r="C117" t="inlineStr">
        <is>
          <t>Föryngringsavverkning</t>
        </is>
      </c>
      <c r="D117" s="1" t="n">
        <v>46093</v>
      </c>
      <c r="E117" s="1" t="n">
        <v>46277</v>
      </c>
      <c r="F117" t="inlineStr">
        <is>
          <t>SKÅNE LÄN</t>
        </is>
      </c>
      <c r="G117" t="inlineStr">
        <is>
          <t>ÄNGELHOLM</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44448-2023</t>
        </is>
      </c>
      <c r="B118" t="inlineStr">
        <is>
          <t>avverkningsanmälan</t>
        </is>
      </c>
      <c r="C118" t="inlineStr">
        <is>
          <t>Föryngringsavverkning</t>
        </is>
      </c>
      <c r="D118" s="1" t="n">
        <v>45189</v>
      </c>
      <c r="E118" s="1" t="n">
        <v>46277</v>
      </c>
      <c r="F118" t="inlineStr">
        <is>
          <t>SKÅNE LÄN</t>
        </is>
      </c>
      <c r="G118" t="inlineStr">
        <is>
          <t>ÄNGELHOLM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57923-2024</t>
        </is>
      </c>
      <c r="B119" t="inlineStr">
        <is>
          <t>avverkningsanmälan</t>
        </is>
      </c>
      <c r="C119" t="inlineStr">
        <is>
          <t>Föryngringsavverkning</t>
        </is>
      </c>
      <c r="D119" s="1" t="n">
        <v>45631</v>
      </c>
      <c r="E119" s="1" t="n">
        <v>46277</v>
      </c>
      <c r="F119" t="inlineStr">
        <is>
          <t>SKÅNE LÄN</t>
        </is>
      </c>
      <c r="G119" t="inlineStr">
        <is>
          <t>ÄNGELHOLM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28264-2022</t>
        </is>
      </c>
      <c r="B120" t="inlineStr">
        <is>
          <t>avverkningsanmälan</t>
        </is>
      </c>
      <c r="C120" t="inlineStr">
        <is>
          <t>Föryngringsavverkning</t>
        </is>
      </c>
      <c r="D120" s="1" t="n">
        <v>44746</v>
      </c>
      <c r="E120" s="1" t="n">
        <v>46277</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55545-2022</t>
        </is>
      </c>
      <c r="B121" t="inlineStr">
        <is>
          <t>avverkningsanmälan</t>
        </is>
      </c>
      <c r="C121" t="inlineStr">
        <is>
          <t>Föryngringsavverkning</t>
        </is>
      </c>
      <c r="D121" s="1" t="n">
        <v>44887</v>
      </c>
      <c r="E121" s="1" t="n">
        <v>46277</v>
      </c>
      <c r="F121" t="inlineStr">
        <is>
          <t>SKÅNE LÄN</t>
        </is>
      </c>
      <c r="G121" t="inlineStr">
        <is>
          <t>ÄNGELHOLM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27097-2026</t>
        </is>
      </c>
      <c r="B122" t="inlineStr">
        <is>
          <t>avverkningsanmälan</t>
        </is>
      </c>
      <c r="C122" t="inlineStr">
        <is>
          <t>Föryngringsavverkning</t>
        </is>
      </c>
      <c r="D122" s="1" t="n">
        <v>46188</v>
      </c>
      <c r="E122" s="1" t="n">
        <v>46277</v>
      </c>
      <c r="F122" t="inlineStr">
        <is>
          <t>SKÅNE LÄN</t>
        </is>
      </c>
      <c r="G122" t="inlineStr">
        <is>
          <t>ÄNGELHOLM</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34514-2023</t>
        </is>
      </c>
      <c r="B123" t="inlineStr">
        <is>
          <t>avverkningsanmälan</t>
        </is>
      </c>
      <c r="C123" t="inlineStr">
        <is>
          <t>Föryngringsavverkning</t>
        </is>
      </c>
      <c r="D123" s="1" t="n">
        <v>45140</v>
      </c>
      <c r="E123" s="1" t="n">
        <v>46277</v>
      </c>
      <c r="F123" t="inlineStr">
        <is>
          <t>SKÅNE LÄN</t>
        </is>
      </c>
      <c r="G123" t="inlineStr">
        <is>
          <t>ÄNGELHOLM</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1299-2024</t>
        </is>
      </c>
      <c r="B124" t="inlineStr">
        <is>
          <t>avverkningsanmälan</t>
        </is>
      </c>
      <c r="C124" t="inlineStr">
        <is>
          <t>Föryngringsavverkning</t>
        </is>
      </c>
      <c r="D124" s="1" t="n">
        <v>45303</v>
      </c>
      <c r="E124" s="1" t="n">
        <v>46277</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42105-2022</t>
        </is>
      </c>
      <c r="B125" t="inlineStr">
        <is>
          <t>avverkningsanmälan</t>
        </is>
      </c>
      <c r="C125" t="inlineStr">
        <is>
          <t>Föryngringsavverkning</t>
        </is>
      </c>
      <c r="D125" s="1" t="n">
        <v>44830</v>
      </c>
      <c r="E125" s="1" t="n">
        <v>46277</v>
      </c>
      <c r="F125" t="inlineStr">
        <is>
          <t>SKÅNE LÄN</t>
        </is>
      </c>
      <c r="G125" t="inlineStr">
        <is>
          <t>ÄNGELHOLM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46277</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15154-2023</t>
        </is>
      </c>
      <c r="B127" t="inlineStr">
        <is>
          <t>avverkningsanmälan</t>
        </is>
      </c>
      <c r="C127" t="inlineStr">
        <is>
          <t>Föryngringsavverkning</t>
        </is>
      </c>
      <c r="D127" s="1" t="n">
        <v>45016</v>
      </c>
      <c r="E127" s="1" t="n">
        <v>46277</v>
      </c>
      <c r="F127" t="inlineStr">
        <is>
          <t>SKÅNE LÄN</t>
        </is>
      </c>
      <c r="G127" t="inlineStr">
        <is>
          <t>ÄNGELHOLM</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7337-2024</t>
        </is>
      </c>
      <c r="B128" t="inlineStr">
        <is>
          <t>avverkningsanmälan</t>
        </is>
      </c>
      <c r="C128" t="inlineStr">
        <is>
          <t>Föryngringsavverkning</t>
        </is>
      </c>
      <c r="D128" s="1" t="n">
        <v>45345</v>
      </c>
      <c r="E128" s="1" t="n">
        <v>46277</v>
      </c>
      <c r="F128" t="inlineStr">
        <is>
          <t>SKÅNE LÄN</t>
        </is>
      </c>
      <c r="G128" t="inlineStr">
        <is>
          <t>ÄNGELHOLM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49610-2024</t>
        </is>
      </c>
      <c r="B129" t="inlineStr">
        <is>
          <t>avverkningsanmälan</t>
        </is>
      </c>
      <c r="C129" t="inlineStr">
        <is>
          <t>Föryngringsavverkning</t>
        </is>
      </c>
      <c r="D129" s="1" t="n">
        <v>45596</v>
      </c>
      <c r="E129" s="1" t="n">
        <v>46277</v>
      </c>
      <c r="F129" t="inlineStr">
        <is>
          <t>SKÅNE LÄN</t>
        </is>
      </c>
      <c r="G129" t="inlineStr">
        <is>
          <t>ÄNGELHOLM</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14400-2023</t>
        </is>
      </c>
      <c r="B130" t="inlineStr">
        <is>
          <t>avverkningsanmälan</t>
        </is>
      </c>
      <c r="C130" t="inlineStr">
        <is>
          <t>Föryngringsavverkning</t>
        </is>
      </c>
      <c r="D130" s="1" t="n">
        <v>45012</v>
      </c>
      <c r="E130" s="1" t="n">
        <v>46277</v>
      </c>
      <c r="F130" t="inlineStr">
        <is>
          <t>SKÅNE LÄN</t>
        </is>
      </c>
      <c r="G130" t="inlineStr">
        <is>
          <t>ÄNGELHOLM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4089-2024</t>
        </is>
      </c>
      <c r="B131" t="inlineStr">
        <is>
          <t>avverkningsanmälan</t>
        </is>
      </c>
      <c r="C131" t="inlineStr">
        <is>
          <t>Föryngringsavverkning</t>
        </is>
      </c>
      <c r="D131" s="1" t="n">
        <v>45323</v>
      </c>
      <c r="E131" s="1" t="n">
        <v>46277</v>
      </c>
      <c r="F131" t="inlineStr">
        <is>
          <t>SKÅNE LÄN</t>
        </is>
      </c>
      <c r="G131" t="inlineStr">
        <is>
          <t>ÄNGELHOLM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23676-2024</t>
        </is>
      </c>
      <c r="B132" t="inlineStr">
        <is>
          <t>avverkningsanmälan</t>
        </is>
      </c>
      <c r="C132" t="inlineStr">
        <is>
          <t>Föryngringsavverkning</t>
        </is>
      </c>
      <c r="D132" s="1" t="n">
        <v>45454</v>
      </c>
      <c r="E132" s="1" t="n">
        <v>46277</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26986-2026</t>
        </is>
      </c>
      <c r="B133" t="inlineStr">
        <is>
          <t>avverkningsanmälan</t>
        </is>
      </c>
      <c r="C133" t="inlineStr">
        <is>
          <t>Föryngringsavverkning</t>
        </is>
      </c>
      <c r="D133" s="1" t="n">
        <v>46185</v>
      </c>
      <c r="E133" s="1" t="n">
        <v>46277</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26978-2026</t>
        </is>
      </c>
      <c r="B134" t="inlineStr">
        <is>
          <t>avverkningsanmälan</t>
        </is>
      </c>
      <c r="C134" t="inlineStr">
        <is>
          <t>Föryngringsavverkning</t>
        </is>
      </c>
      <c r="D134" s="1" t="n">
        <v>46185</v>
      </c>
      <c r="E134" s="1" t="n">
        <v>46277</v>
      </c>
      <c r="F134" t="inlineStr">
        <is>
          <t>SKÅNE LÄN</t>
        </is>
      </c>
      <c r="G134" t="inlineStr">
        <is>
          <t>ÄNGELHOLM</t>
        </is>
      </c>
      <c r="I134" t="n">
        <v>7.7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60-2024</t>
        </is>
      </c>
      <c r="B135" t="inlineStr">
        <is>
          <t>avverkningsanmälan</t>
        </is>
      </c>
      <c r="C135" t="inlineStr">
        <is>
          <t>Föryngringsavverkning</t>
        </is>
      </c>
      <c r="D135" s="1" t="n">
        <v>45293</v>
      </c>
      <c r="E135" s="1" t="n">
        <v>46277</v>
      </c>
      <c r="F135" t="inlineStr">
        <is>
          <t>SKÅNE LÄN</t>
        </is>
      </c>
      <c r="G135" t="inlineStr">
        <is>
          <t>ÄNGELHOLM</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46277</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4755-2024</t>
        </is>
      </c>
      <c r="B137" t="inlineStr">
        <is>
          <t>avverkningsanmälan</t>
        </is>
      </c>
      <c r="C137" t="inlineStr">
        <is>
          <t>Föryngringsavverkning</t>
        </is>
      </c>
      <c r="D137" s="1" t="n">
        <v>45328</v>
      </c>
      <c r="E137" s="1" t="n">
        <v>46277</v>
      </c>
      <c r="F137" t="inlineStr">
        <is>
          <t>SKÅNE LÄN</t>
        </is>
      </c>
      <c r="G137" t="inlineStr">
        <is>
          <t>ÄNGELHOLM</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31576-2026</t>
        </is>
      </c>
      <c r="B138" t="inlineStr">
        <is>
          <t>avverkningsanmälan</t>
        </is>
      </c>
      <c r="C138" t="inlineStr">
        <is>
          <t>Föryngringsavverkning</t>
        </is>
      </c>
      <c r="D138" s="1" t="n">
        <v>46224</v>
      </c>
      <c r="E138" s="1" t="n">
        <v>46277</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32430-2023</t>
        </is>
      </c>
      <c r="B139" t="inlineStr">
        <is>
          <t>avverkningsanmälan</t>
        </is>
      </c>
      <c r="C139" t="inlineStr">
        <is>
          <t>Föryngringsavverkning</t>
        </is>
      </c>
      <c r="D139" s="1" t="n">
        <v>45120</v>
      </c>
      <c r="E139" s="1" t="n">
        <v>46277</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28496-2023</t>
        </is>
      </c>
      <c r="B140" t="inlineStr">
        <is>
          <t>avverkningsanmälan</t>
        </is>
      </c>
      <c r="C140" t="inlineStr">
        <is>
          <t>Föryngringsavverkning</t>
        </is>
      </c>
      <c r="D140" s="1" t="n">
        <v>45103</v>
      </c>
      <c r="E140" s="1" t="n">
        <v>46277</v>
      </c>
      <c r="F140" t="inlineStr">
        <is>
          <t>SKÅNE LÄN</t>
        </is>
      </c>
      <c r="G140" t="inlineStr">
        <is>
          <t>ÄNGELHOLM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35677-2026</t>
        </is>
      </c>
      <c r="B141" t="inlineStr">
        <is>
          <t>avverkningsanmälan</t>
        </is>
      </c>
      <c r="C141" t="inlineStr">
        <is>
          <t>Föryngringsavverkning</t>
        </is>
      </c>
      <c r="D141" s="1" t="n">
        <v>46265</v>
      </c>
      <c r="E141" s="1" t="n">
        <v>46277</v>
      </c>
      <c r="F141" t="inlineStr">
        <is>
          <t>SKÅNE LÄN</t>
        </is>
      </c>
      <c r="G141" t="inlineStr">
        <is>
          <t>ÄNGELHOLM</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35680-2026</t>
        </is>
      </c>
      <c r="B142" t="inlineStr">
        <is>
          <t>avverkningsanmälan</t>
        </is>
      </c>
      <c r="C142" t="inlineStr">
        <is>
          <t>Föryngringsavverkning</t>
        </is>
      </c>
      <c r="D142" s="1" t="n">
        <v>46265</v>
      </c>
      <c r="E142" s="1" t="n">
        <v>46277</v>
      </c>
      <c r="F142" t="inlineStr">
        <is>
          <t>SKÅNE LÄN</t>
        </is>
      </c>
      <c r="G142" t="inlineStr">
        <is>
          <t>ÄNGELHOLM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35684-2026</t>
        </is>
      </c>
      <c r="B143" t="inlineStr">
        <is>
          <t>avverkningsanmälan</t>
        </is>
      </c>
      <c r="C143" t="inlineStr">
        <is>
          <t>Föryngringsavverkning</t>
        </is>
      </c>
      <c r="D143" s="1" t="n">
        <v>46265</v>
      </c>
      <c r="E143" s="1" t="n">
        <v>46277</v>
      </c>
      <c r="F143" t="inlineStr">
        <is>
          <t>SKÅNE LÄN</t>
        </is>
      </c>
      <c r="G143" t="inlineStr">
        <is>
          <t>ÄNGELHOLM</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36001-2026</t>
        </is>
      </c>
      <c r="B144" t="inlineStr">
        <is>
          <t>avverkningsanmälan</t>
        </is>
      </c>
      <c r="C144" t="inlineStr">
        <is>
          <t>Föryngringsavverkning</t>
        </is>
      </c>
      <c r="D144" s="1" t="n">
        <v>46266</v>
      </c>
      <c r="E144" s="1" t="n">
        <v>46277</v>
      </c>
      <c r="F144" t="inlineStr">
        <is>
          <t>SKÅNE LÄN</t>
        </is>
      </c>
      <c r="G144" t="inlineStr">
        <is>
          <t>ÄNGELHOLM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4605-2025</t>
        </is>
      </c>
      <c r="B145" t="inlineStr">
        <is>
          <t>avverkningsanmälan</t>
        </is>
      </c>
      <c r="C145" t="inlineStr">
        <is>
          <t>Föryngringsavverkning</t>
        </is>
      </c>
      <c r="D145" s="1" t="n">
        <v>45687</v>
      </c>
      <c r="E145" s="1" t="n">
        <v>46277</v>
      </c>
      <c r="F145" t="inlineStr">
        <is>
          <t>SKÅNE LÄN</t>
        </is>
      </c>
      <c r="G145" t="inlineStr">
        <is>
          <t>ÄNGELHOLM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21488-2023</t>
        </is>
      </c>
      <c r="B146" t="inlineStr">
        <is>
          <t>avverkningsanmälan</t>
        </is>
      </c>
      <c r="C146" t="inlineStr">
        <is>
          <t>Föryngringsavverkning</t>
        </is>
      </c>
      <c r="D146" s="1" t="n">
        <v>45061</v>
      </c>
      <c r="E146" s="1" t="n">
        <v>46277</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31908-2023</t>
        </is>
      </c>
      <c r="B147" t="inlineStr">
        <is>
          <t>avverkningsanmälan</t>
        </is>
      </c>
      <c r="C147" t="inlineStr">
        <is>
          <t>Föryngringsavverkning</t>
        </is>
      </c>
      <c r="D147" s="1" t="n">
        <v>45118</v>
      </c>
      <c r="E147" s="1" t="n">
        <v>46277</v>
      </c>
      <c r="F147" t="inlineStr">
        <is>
          <t>SKÅNE LÄN</t>
        </is>
      </c>
      <c r="G147" t="inlineStr">
        <is>
          <t>ÄNGELHOLM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35912-2026</t>
        </is>
      </c>
      <c r="B148" t="inlineStr">
        <is>
          <t>avverkningsanmälan</t>
        </is>
      </c>
      <c r="C148" t="inlineStr">
        <is>
          <t>Föryngringsavverkning</t>
        </is>
      </c>
      <c r="D148" s="1" t="n">
        <v>46266</v>
      </c>
      <c r="E148" s="1" t="n">
        <v>46277</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7811-2023</t>
        </is>
      </c>
      <c r="B149" t="inlineStr">
        <is>
          <t>avverkningsanmälan</t>
        </is>
      </c>
      <c r="C149" t="inlineStr">
        <is>
          <t>Föryngringsavverkning</t>
        </is>
      </c>
      <c r="D149" s="1" t="n">
        <v>44973</v>
      </c>
      <c r="E149" s="1" t="n">
        <v>46277</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16314-2024</t>
        </is>
      </c>
      <c r="B150" t="inlineStr">
        <is>
          <t>avverkningsanmälan</t>
        </is>
      </c>
      <c r="C150" t="inlineStr">
        <is>
          <t>Föryngringsavverkning</t>
        </is>
      </c>
      <c r="D150" s="1" t="n">
        <v>45407</v>
      </c>
      <c r="E150" s="1" t="n">
        <v>46277</v>
      </c>
      <c r="F150" t="inlineStr">
        <is>
          <t>SKÅNE LÄN</t>
        </is>
      </c>
      <c r="G150" t="inlineStr">
        <is>
          <t>ÄNGELHOLM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19255-2026</t>
        </is>
      </c>
      <c r="B151" t="inlineStr">
        <is>
          <t>avverkningsanmälan</t>
        </is>
      </c>
      <c r="C151" t="inlineStr">
        <is>
          <t>Föryngringsavverkning</t>
        </is>
      </c>
      <c r="D151" s="1" t="n">
        <v>46132</v>
      </c>
      <c r="E151" s="1" t="n">
        <v>46277</v>
      </c>
      <c r="F151" t="inlineStr">
        <is>
          <t>SKÅNE LÄN</t>
        </is>
      </c>
      <c r="G151" t="inlineStr">
        <is>
          <t>ÄNGELHOLM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19256-2026</t>
        </is>
      </c>
      <c r="B152" t="inlineStr">
        <is>
          <t>avverkningsanmälan</t>
        </is>
      </c>
      <c r="C152" t="inlineStr">
        <is>
          <t>Föryngringsavverkning</t>
        </is>
      </c>
      <c r="D152" s="1" t="n">
        <v>46132</v>
      </c>
      <c r="E152" s="1" t="n">
        <v>46277</v>
      </c>
      <c r="F152" t="inlineStr">
        <is>
          <t>SKÅNE LÄN</t>
        </is>
      </c>
      <c r="G152" t="inlineStr">
        <is>
          <t>ÄNGELHOLM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37628-2026</t>
        </is>
      </c>
      <c r="B153" t="inlineStr">
        <is>
          <t>avverkningsanmälan</t>
        </is>
      </c>
      <c r="C153" t="inlineStr">
        <is>
          <t>Föryngringsavverkning</t>
        </is>
      </c>
      <c r="D153" s="1" t="n">
        <v>46276</v>
      </c>
      <c r="E153" s="1" t="n">
        <v>46277</v>
      </c>
      <c r="F153" t="inlineStr">
        <is>
          <t>SKÅNE LÄN</t>
        </is>
      </c>
      <c r="G153" t="inlineStr">
        <is>
          <t>ÄNGELHOLM</t>
        </is>
      </c>
      <c r="H153" t="inlineStr">
        <is>
          <t>Kommuner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46613-2024</t>
        </is>
      </c>
      <c r="B154" t="inlineStr">
        <is>
          <t>avverkningsanmälan</t>
        </is>
      </c>
      <c r="C154" t="inlineStr">
        <is>
          <t>Föryngringsavverkning</t>
        </is>
      </c>
      <c r="D154" s="1" t="n">
        <v>45583</v>
      </c>
      <c r="E154" s="1" t="n">
        <v>46277</v>
      </c>
      <c r="F154" t="inlineStr">
        <is>
          <t>SKÅNE LÄN</t>
        </is>
      </c>
      <c r="G154" t="inlineStr">
        <is>
          <t>ÄNGELHOLM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46277</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23980-2024</t>
        </is>
      </c>
      <c r="B156" t="inlineStr">
        <is>
          <t>avverkningsanmälan</t>
        </is>
      </c>
      <c r="C156" t="inlineStr">
        <is>
          <t>Föryngringsavverkning</t>
        </is>
      </c>
      <c r="D156" s="1" t="n">
        <v>45456</v>
      </c>
      <c r="E156" s="1" t="n">
        <v>46277</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55748-2024</t>
        </is>
      </c>
      <c r="B157" t="inlineStr">
        <is>
          <t>avverkningsanmälan</t>
        </is>
      </c>
      <c r="C157" t="inlineStr">
        <is>
          <t>Föryngringsavverkning</t>
        </is>
      </c>
      <c r="D157" s="1" t="n">
        <v>45623</v>
      </c>
      <c r="E157" s="1" t="n">
        <v>46277</v>
      </c>
      <c r="F157" t="inlineStr">
        <is>
          <t>SKÅNE LÄN</t>
        </is>
      </c>
      <c r="G157" t="inlineStr">
        <is>
          <t>ÄNGELHOLM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48197-2024</t>
        </is>
      </c>
      <c r="B158" t="inlineStr">
        <is>
          <t>avverkningsanmälan</t>
        </is>
      </c>
      <c r="C158" t="inlineStr">
        <is>
          <t>Föryngringsavverkning</t>
        </is>
      </c>
      <c r="D158" s="1" t="n">
        <v>45590</v>
      </c>
      <c r="E158" s="1" t="n">
        <v>46277</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55529-2024</t>
        </is>
      </c>
      <c r="B159" t="inlineStr">
        <is>
          <t>avverkningsanmälan</t>
        </is>
      </c>
      <c r="C159" t="inlineStr">
        <is>
          <t>Föryngringsavverkning</t>
        </is>
      </c>
      <c r="D159" s="1" t="n">
        <v>45622</v>
      </c>
      <c r="E159" s="1" t="n">
        <v>46277</v>
      </c>
      <c r="F159" t="inlineStr">
        <is>
          <t>SKÅNE LÄN</t>
        </is>
      </c>
      <c r="G159" t="inlineStr">
        <is>
          <t>ÄNGELHOLM</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46277</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46277</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46277</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46277</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46277</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46277</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46277</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46277</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46277</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2026-09-12T02:09:11Z</dcterms:created>
  <dcterms:modified xmlns:dcterms="http://purl.org/dc/terms/" xmlns:xsi="http://www.w3.org/2001/XMLSchema-instance" xsi:type="dcterms:W3CDTF">2026-09-12T02:09:12Z</dcterms:modified>
</cp:coreProperties>
</file>